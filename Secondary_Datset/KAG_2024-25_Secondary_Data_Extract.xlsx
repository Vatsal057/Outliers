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lek\Downloads\"/>
    </mc:Choice>
  </mc:AlternateContent>
  <xr:revisionPtr revIDLastSave="0" documentId="13_ncr:1_{6A7E0821-B4BE-4F95-9B2A-55D24881B9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ME" sheetId="1" r:id="rId1"/>
    <sheet name="9.3a Rural Roads" sheetId="2" r:id="rId2"/>
    <sheet name="9.4 Internet &amp; Telecom" sheetId="3" r:id="rId3"/>
    <sheet name="10.3a Lower Primary" sheetId="4" r:id="rId4"/>
    <sheet name="10.4a Higher Primary" sheetId="5" r:id="rId5"/>
    <sheet name="10.5a High School" sheetId="6" r:id="rId6"/>
    <sheet name="10.8 OutOfSchool &amp; Dropout" sheetId="7" r:id="rId7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8" i="7" l="1"/>
  <c r="E38" i="7"/>
  <c r="D38" i="7"/>
  <c r="C38" i="7"/>
  <c r="B38" i="7"/>
  <c r="G36" i="7"/>
  <c r="G38" i="7" s="1"/>
  <c r="F36" i="7"/>
  <c r="E36" i="7"/>
  <c r="D36" i="7"/>
  <c r="C36" i="7"/>
  <c r="B36" i="7"/>
  <c r="E38" i="6"/>
  <c r="D38" i="6"/>
  <c r="C38" i="6"/>
  <c r="E36" i="6"/>
  <c r="D36" i="6"/>
  <c r="C36" i="6"/>
  <c r="B36" i="6"/>
  <c r="B38" i="6" s="1"/>
  <c r="E38" i="5"/>
  <c r="D38" i="5"/>
  <c r="C38" i="5"/>
  <c r="E36" i="5"/>
  <c r="D36" i="5"/>
  <c r="C36" i="5"/>
  <c r="B36" i="5"/>
  <c r="B38" i="5" s="1"/>
  <c r="E38" i="4"/>
  <c r="D38" i="4"/>
  <c r="C38" i="4"/>
  <c r="E36" i="4"/>
  <c r="D36" i="4"/>
  <c r="C36" i="4"/>
  <c r="B36" i="4"/>
  <c r="B38" i="4" s="1"/>
  <c r="F38" i="3"/>
  <c r="E38" i="3"/>
  <c r="D38" i="3"/>
  <c r="F36" i="3"/>
  <c r="E36" i="3"/>
  <c r="D36" i="3"/>
  <c r="C36" i="3"/>
  <c r="C38" i="3" s="1"/>
  <c r="B36" i="3"/>
  <c r="B38" i="3" s="1"/>
  <c r="C38" i="2"/>
  <c r="C36" i="2"/>
  <c r="B36" i="2"/>
  <c r="B38" i="2" s="1"/>
</calcChain>
</file>

<file path=xl/sharedStrings.xml><?xml version="1.0" encoding="utf-8"?>
<sst xmlns="http://schemas.openxmlformats.org/spreadsheetml/2006/main" count="286" uniqueCount="96">
  <si>
    <t>Datathon 2026 -- KAG 2024-25 Secondary Data Extract</t>
  </si>
  <si>
    <t>Source document</t>
  </si>
  <si>
    <t>Karnataka At A Glance - Statistical Report FY 2024-25</t>
  </si>
  <si>
    <t>Publisher</t>
  </si>
  <si>
    <t>Directorate of Economics &amp; Statistics, Karnataka; data generated from K-GIS, KSRSAC</t>
  </si>
  <si>
    <t>Extraction method</t>
  </si>
  <si>
    <t>Pages rasterized and read via OCR + manual visual cross-check (source PDF is a scanned document with no text layer)</t>
  </si>
  <si>
    <t>Sheet</t>
  </si>
  <si>
    <t>Table / Contents</t>
  </si>
  <si>
    <t>9.3a Rural Roads</t>
  </si>
  <si>
    <t>Rural road habitation coverage -- physical isolation proxy (p.241)</t>
  </si>
  <si>
    <t>9.4 Internet &amp; Telecom</t>
  </si>
  <si>
    <t>Post offices, telephones, mobiles, internet connections (p.243)</t>
  </si>
  <si>
    <t>10.3a Lower Primary</t>
  </si>
  <si>
    <t>Govt Lower Primary (Std 1-5) schools + enrollment by gender (p.260)</t>
  </si>
  <si>
    <t>10.4a Higher Primary</t>
  </si>
  <si>
    <t>Govt Higher Primary (Std 6-8) schools + enrollment by gender (p.264)</t>
  </si>
  <si>
    <t>10.5a High School</t>
  </si>
  <si>
    <t>Govt High School schools + enrollment by gender (p.268)</t>
  </si>
  <si>
    <t>10.8 OutOfSchool &amp; Dropout</t>
  </si>
  <si>
    <t>Children age 6-14 enrolled / out-of-school, dropout ratio, by gender (p.276)</t>
  </si>
  <si>
    <t>Important</t>
  </si>
  <si>
    <t>Every sheet includes a 'Match check' row comparing the sum of the 31 district rows against the official district-summary total printed in the source PDF. Any cell flagged 'CHECK' means the extracted district-level figures don't sum exactly to the source total -- likely a single-digit OCR misread in one district row. Spot-check those against the source page before relying on that specific column.</t>
  </si>
  <si>
    <t>Correction made</t>
  </si>
  <si>
    <t>Tables 10.4a and 10.5a: the first extraction pass of the 'No. of Govt Schools' column mistakenly included a column header-code number as Belagavi's value and dropped one district's true value further down the column. Both were caught by the Match check, re-extracted at higher zoom, and corrected -- both now match the published total exactly.</t>
  </si>
  <si>
    <t>Geography note</t>
  </si>
  <si>
    <t>All tables here are District-level only (KAG does not report below District). Join to the primary assessment dataset at District; do not assume uniformity across Blocks/GPs within a district.</t>
  </si>
  <si>
    <t>Table 9.3a -- Length of Rural Roads and No. of Habitations with All-Weather Road Access (as on 31.03.2025)</t>
  </si>
  <si>
    <t>Source: Karnataka At A Glance - Statistical Report FY 2024-25. Published by: Directorate of Economics &amp; Statistics, Planning Programme Monitoring &amp; Statistics Department. Generated from: K-GIS, KSRSAC. Table 9.3a, page 241.</t>
  </si>
  <si>
    <t>District</t>
  </si>
  <si>
    <t>Total No. of Habitations</t>
  </si>
  <si>
    <t>No. of Habitations with All-Weather Road Access</t>
  </si>
  <si>
    <t>% Habitations with All-Weather Road Access</t>
  </si>
  <si>
    <t>Belagavi</t>
  </si>
  <si>
    <t>Bagalkote</t>
  </si>
  <si>
    <t>Vijayapura</t>
  </si>
  <si>
    <t>Kalburgi</t>
  </si>
  <si>
    <t>Bidar</t>
  </si>
  <si>
    <t>Raichuru</t>
  </si>
  <si>
    <t>Koppal</t>
  </si>
  <si>
    <t>Gadag</t>
  </si>
  <si>
    <t>Dharwada</t>
  </si>
  <si>
    <t>Uttara Kannada</t>
  </si>
  <si>
    <t>Haveri</t>
  </si>
  <si>
    <t>Ballari</t>
  </si>
  <si>
    <t>Chitradurga</t>
  </si>
  <si>
    <t>Davanagere</t>
  </si>
  <si>
    <t>Shivamogga</t>
  </si>
  <si>
    <t>Udupi</t>
  </si>
  <si>
    <t>Chikkamagaluru</t>
  </si>
  <si>
    <t>Tumakuru</t>
  </si>
  <si>
    <t>Kolara</t>
  </si>
  <si>
    <t>Bengaluru (Urban)</t>
  </si>
  <si>
    <t>Bengaluru (Rural)</t>
  </si>
  <si>
    <t>Mandya</t>
  </si>
  <si>
    <t>Hassan</t>
  </si>
  <si>
    <t>Dakshina Kannada</t>
  </si>
  <si>
    <t>Kodagu</t>
  </si>
  <si>
    <t>Mysuru</t>
  </si>
  <si>
    <t>Chamarajanagara</t>
  </si>
  <si>
    <t>Chikkaballapura</t>
  </si>
  <si>
    <t>Ramanagara</t>
  </si>
  <si>
    <t>Yadgiri</t>
  </si>
  <si>
    <t>Vijayanagara</t>
  </si>
  <si>
    <t>Total (computed, =SUM formula)</t>
  </si>
  <si>
    <t>n/a (rate)</t>
  </si>
  <si>
    <t>Total / overall (as printed in source PDF)</t>
  </si>
  <si>
    <t>Match check (counts only)</t>
  </si>
  <si>
    <t>-</t>
  </si>
  <si>
    <t>Note: figures manually extracted (OCR + visual cross-check) from a scanned PDF (no text layer). 'Match check' verifies the sum of the 31 district rows against the district-summary row printed in the source. Rate/percentage columns cannot be summed and are shown for reference only -- spot-check any 'CHECK' flag, and treat rate columns as printed-value trust, against the source page before use.</t>
  </si>
  <si>
    <t>Table 9.4 -- Post Offices, Telephone Exchanges and Telephones (as on 31.03.2025)</t>
  </si>
  <si>
    <t>Source: Karnataka At A Glance - Statistical Report FY 2024-25. Published by: Directorate of Economics &amp; Statistics, Planning Programme Monitoring &amp; Statistics Department. Generated from: K-GIS, KSRSAC. Table 9.4, page 243.</t>
  </si>
  <si>
    <t>Post Offices</t>
  </si>
  <si>
    <t>Telephone Exchanges</t>
  </si>
  <si>
    <t>Telephone/Mobile Phones</t>
  </si>
  <si>
    <t>Mobile Phone Connections</t>
  </si>
  <si>
    <t>Internet Connections</t>
  </si>
  <si>
    <t>Table 10.3a -- No. of Lower Primary Schools (1st to 5th) and Students : 2024-25</t>
  </si>
  <si>
    <t>Source: Karnataka At A Glance - Statistical Report FY 2024-25. Published by: Directorate of Economics &amp; Statistics, Planning Programme Monitoring &amp; Statistics Department. Generated from: K-GIS, KSRSAC. Table 10.3a, page 260.</t>
  </si>
  <si>
    <t>No. of Govt Schools</t>
  </si>
  <si>
    <t>Total Enrollment of Boys</t>
  </si>
  <si>
    <t>Total Enrollment of Girls</t>
  </si>
  <si>
    <t>Total</t>
  </si>
  <si>
    <t>Table 10.4a -- No. of Higher Primary Schools (6th to 8th) and Students : 2024-25</t>
  </si>
  <si>
    <t>Source: Karnataka At A Glance - Statistical Report FY 2024-25. Published by: Directorate of Economics &amp; Statistics, Planning Programme Monitoring &amp; Statistics Department. Generated from: K-GIS, KSRSAC. Table 10.4a, page 264.</t>
  </si>
  <si>
    <t>Table 10.5a -- No. of High Schools and Students : 2024-25</t>
  </si>
  <si>
    <t>Source: Karnataka At A Glance - Statistical Report FY 2024-25. Published by: Directorate of Economics &amp; Statistics, Planning Programme Monitoring &amp; Statistics Department. Generated from: K-GIS, KSRSAC. Table 10.5a, page 268.</t>
  </si>
  <si>
    <t>Table 10.8 -- No. of Children (Age 6-14) and No. of Children Out of School : 2024-25</t>
  </si>
  <si>
    <t>Source: Karnataka At A Glance - Statistical Report FY 2024-25. Published by: Directorate of Economics &amp; Statistics, Planning Programme Monitoring &amp; Statistics Department. Generated from: K-GIS, KSRSAC. Table 10.8, page 276.</t>
  </si>
  <si>
    <t>Enrolled Boys (6-14)</t>
  </si>
  <si>
    <t>Enrolled Girls (6-14)</t>
  </si>
  <si>
    <t>Enrolled Total (6-14)</t>
  </si>
  <si>
    <t>Out-of-School Boys</t>
  </si>
  <si>
    <t>Out-of-School Girls</t>
  </si>
  <si>
    <t>Out-of-School Total</t>
  </si>
  <si>
    <t>Dropout Ratio (%,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</si>
</sst>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charset val="1"/>
    </font>
    <font>
      <b/>
      <sz val="15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  <font>
      <b/>
      <sz val="13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</cellXfs>
  <cellStyles count="1"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1" defaultTableStyle="TableStyleMedium2" defaultPivotStyle="PivotStyleLight16">
    <tableStyle name="Invisible" pivot="0" table="0" count="0" xr9:uid="{447022E8-45E0-49CC-9D5D-BEB6D20214B6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F846F-5777-417F-8AB3-CCF8C8BE9247}" name="Table1" displayName="Table1" ref="A4:D35" totalsRowShown="0" headerRowDxfId="44" headerRowBorderDxfId="50" tableBorderDxfId="51" totalsRowBorderDxfId="49">
  <autoFilter ref="A4:D35" xr:uid="{520F846F-5777-417F-8AB3-CCF8C8BE9247}"/>
  <tableColumns count="4">
    <tableColumn id="1" xr3:uid="{FC185785-D6AB-4667-B8CA-DEB82CDFFD73}" name="District" dataDxfId="48"/>
    <tableColumn id="2" xr3:uid="{3538A4A3-C462-4A3D-BAC5-6038CE7D2740}" name="Total No. of Habitations" dataDxfId="47"/>
    <tableColumn id="3" xr3:uid="{6F33D812-AD64-41AE-9839-00B9730DB9D3}" name="No. of Habitations with All-Weather Road Access" dataDxfId="46"/>
    <tableColumn id="4" xr3:uid="{843E86B5-5F36-4594-B507-55F05255F144}" name="% Habitations with All-Weather Road Access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4ED790-622B-4425-B280-DDE555A71CFB}" name="Table2" displayName="Table2" ref="A4:F35" totalsRowShown="0" headerRowDxfId="33" dataDxfId="34" headerRowBorderDxfId="42" tableBorderDxfId="43" totalsRowBorderDxfId="41">
  <autoFilter ref="A4:F35" xr:uid="{EF4ED790-622B-4425-B280-DDE555A71CFB}"/>
  <tableColumns count="6">
    <tableColumn id="1" xr3:uid="{AE30E2E1-A5D6-447C-94A8-BD55E43F6109}" name="District" dataDxfId="40"/>
    <tableColumn id="2" xr3:uid="{93221CCE-5C75-4C64-A4BE-6046ACA2568A}" name="Post Offices" dataDxfId="39"/>
    <tableColumn id="3" xr3:uid="{55D32198-C0DC-4E13-A394-B3FED4072983}" name="Telephone Exchanges" dataDxfId="38"/>
    <tableColumn id="4" xr3:uid="{BD3509C8-9740-4331-A26A-F8DF0835A4F7}" name="Telephone/Mobile Phones" dataDxfId="37"/>
    <tableColumn id="5" xr3:uid="{FDDD554B-C15E-497A-9D7B-F6B7F4E811B3}" name="Mobile Phone Connections" dataDxfId="36"/>
    <tableColumn id="6" xr3:uid="{D14EFB95-6FA9-4CF2-9C22-47B23C4FC245}" name="Internet Connections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A7A666-890A-4EBC-A952-7C3FFEE1AD87}" name="Table3" displayName="Table3" ref="A4:E35" totalsRowShown="0" headerRowDxfId="23" dataDxfId="24" headerRowBorderDxfId="31" tableBorderDxfId="32" totalsRowBorderDxfId="30">
  <autoFilter ref="A4:E35" xr:uid="{5EA7A666-890A-4EBC-A952-7C3FFEE1AD87}"/>
  <tableColumns count="5">
    <tableColumn id="1" xr3:uid="{76ADBACC-238B-43D8-A56A-8C9D7158E2D1}" name="District" dataDxfId="29"/>
    <tableColumn id="2" xr3:uid="{D1AA87CE-4A8C-4881-B2D5-993D0A9BE3DA}" name="No. of Govt Schools" dataDxfId="28"/>
    <tableColumn id="3" xr3:uid="{1AB24EF7-1E19-47CB-98C8-3F2B42807139}" name="Total Enrollment of Boys" dataDxfId="27"/>
    <tableColumn id="4" xr3:uid="{2149237D-1806-48B0-9C40-FD7C3BD25B51}" name="Total Enrollment of Girls" dataDxfId="26"/>
    <tableColumn id="5" xr3:uid="{838CFD40-BF62-4071-9932-8888F2A536AD}" name="Total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1707D1-9261-4DB2-B7EE-951E3C30EBCF}" name="Table4" displayName="Table4" ref="A4:E35" totalsRowShown="0" headerRowDxfId="13" dataDxfId="14" headerRowBorderDxfId="21" tableBorderDxfId="22" totalsRowBorderDxfId="20">
  <autoFilter ref="A4:E35" xr:uid="{0D1707D1-9261-4DB2-B7EE-951E3C30EBCF}"/>
  <tableColumns count="5">
    <tableColumn id="1" xr3:uid="{F05D8A7B-938A-4745-97EA-A3FA81158896}" name="District" dataDxfId="19"/>
    <tableColumn id="2" xr3:uid="{BA888E89-58F0-4E95-8803-52FB5C3DF3AA}" name="No. of Govt Schools" dataDxfId="18"/>
    <tableColumn id="3" xr3:uid="{34D6FD84-E9F8-4335-A834-ED58EA8414B1}" name="Total Enrollment of Boys" dataDxfId="17"/>
    <tableColumn id="4" xr3:uid="{0C0A6197-56E7-4B02-982C-799390571E6C}" name="Total Enrollment of Girls" dataDxfId="16"/>
    <tableColumn id="5" xr3:uid="{603DCB99-D915-4BED-A4C1-7AD209A5CAB3}" name="Total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C4EDA9-F2FE-46C9-B22F-4AEF2B3DAB3B}" name="Table5" displayName="Table5" ref="A4:H35" totalsRowShown="0" headerRowDxfId="0" dataDxfId="1" headerRowBorderDxfId="11" tableBorderDxfId="12" totalsRowBorderDxfId="10">
  <autoFilter ref="A4:H35" xr:uid="{AEC4EDA9-F2FE-46C9-B22F-4AEF2B3DAB3B}"/>
  <tableColumns count="8">
    <tableColumn id="1" xr3:uid="{E50B009F-C684-4536-8E36-50550EC3C868}" name="District" dataDxfId="9"/>
    <tableColumn id="2" xr3:uid="{22905D14-73F8-42F5-83CB-CC1652300D97}" name="Enrolled Boys (6-14)" dataDxfId="8"/>
    <tableColumn id="3" xr3:uid="{26D15E58-C36C-4053-BBE3-EFB71F8C5A6A}" name="Enrolled Girls (6-14)" dataDxfId="7"/>
    <tableColumn id="4" xr3:uid="{75119B9A-5226-40EE-A238-B8D132EC09A2}" name="Enrolled Total (6-14)" dataDxfId="6"/>
    <tableColumn id="5" xr3:uid="{F9DFD735-A9BD-452C-9641-792031C0FF9F}" name="Out-of-School Boys" dataDxfId="5"/>
    <tableColumn id="6" xr3:uid="{AA4CB41E-E835-49DF-9A9F-10491A2DB1C1}" name="Out-of-School Girls" dataDxfId="4"/>
    <tableColumn id="7" xr3:uid="{281AFE5F-476D-4F6B-8A1E-0ADE61D26648}" name="Out-of-School Total" dataDxfId="3"/>
    <tableColumn id="8" xr3:uid="{B726D96A-7FDF-4B1A-8421-E9FA6FCACD6A}" name="Dropout Ratio (%, source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Normal="100" workbookViewId="0">
      <selection activeCell="B15" sqref="B15"/>
    </sheetView>
  </sheetViews>
  <sheetFormatPr defaultColWidth="8.6640625" defaultRowHeight="14.4" x14ac:dyDescent="0.3"/>
  <cols>
    <col min="1" max="1" width="24" customWidth="1"/>
    <col min="2" max="2" width="85" customWidth="1"/>
  </cols>
  <sheetData>
    <row r="1" spans="1:3" ht="19.2" x14ac:dyDescent="0.35">
      <c r="A1" s="2" t="s">
        <v>0</v>
      </c>
      <c r="B1" s="2"/>
      <c r="C1" s="2"/>
    </row>
    <row r="2" spans="1:3" x14ac:dyDescent="0.3">
      <c r="A2" s="3"/>
      <c r="B2" s="4"/>
    </row>
    <row r="3" spans="1:3" x14ac:dyDescent="0.3">
      <c r="A3" s="3" t="s">
        <v>1</v>
      </c>
      <c r="B3" s="4" t="s">
        <v>2</v>
      </c>
    </row>
    <row r="4" spans="1:3" x14ac:dyDescent="0.3">
      <c r="A4" s="3" t="s">
        <v>3</v>
      </c>
      <c r="B4" s="4" t="s">
        <v>4</v>
      </c>
    </row>
    <row r="5" spans="1:3" ht="27" x14ac:dyDescent="0.3">
      <c r="A5" s="3" t="s">
        <v>5</v>
      </c>
      <c r="B5" s="4" t="s">
        <v>6</v>
      </c>
    </row>
    <row r="6" spans="1:3" x14ac:dyDescent="0.3">
      <c r="A6" s="3"/>
      <c r="B6" s="4"/>
    </row>
    <row r="7" spans="1:3" x14ac:dyDescent="0.3">
      <c r="A7" s="5" t="s">
        <v>7</v>
      </c>
      <c r="B7" s="5" t="s">
        <v>8</v>
      </c>
    </row>
    <row r="8" spans="1:3" x14ac:dyDescent="0.3">
      <c r="A8" s="3" t="s">
        <v>9</v>
      </c>
      <c r="B8" s="4" t="s">
        <v>10</v>
      </c>
    </row>
    <row r="9" spans="1:3" x14ac:dyDescent="0.3">
      <c r="A9" s="3" t="s">
        <v>11</v>
      </c>
      <c r="B9" s="4" t="s">
        <v>12</v>
      </c>
    </row>
    <row r="10" spans="1:3" x14ac:dyDescent="0.3">
      <c r="A10" s="3" t="s">
        <v>13</v>
      </c>
      <c r="B10" s="4" t="s">
        <v>14</v>
      </c>
    </row>
    <row r="11" spans="1:3" x14ac:dyDescent="0.3">
      <c r="A11" s="3" t="s">
        <v>15</v>
      </c>
      <c r="B11" s="4" t="s">
        <v>16</v>
      </c>
    </row>
    <row r="12" spans="1:3" x14ac:dyDescent="0.3">
      <c r="A12" s="3" t="s">
        <v>17</v>
      </c>
      <c r="B12" s="4" t="s">
        <v>18</v>
      </c>
    </row>
    <row r="13" spans="1:3" x14ac:dyDescent="0.3">
      <c r="A13" s="3" t="s">
        <v>19</v>
      </c>
      <c r="B13" s="4" t="s">
        <v>20</v>
      </c>
    </row>
    <row r="14" spans="1:3" x14ac:dyDescent="0.3">
      <c r="A14" s="3"/>
      <c r="B14" s="4"/>
    </row>
    <row r="15" spans="1:3" ht="58.2" customHeight="1" x14ac:dyDescent="0.3">
      <c r="A15" s="6" t="s">
        <v>21</v>
      </c>
      <c r="B15" s="4" t="s">
        <v>22</v>
      </c>
    </row>
    <row r="16" spans="1:3" ht="53.4" x14ac:dyDescent="0.3">
      <c r="A16" s="3" t="s">
        <v>23</v>
      </c>
      <c r="B16" s="4" t="s">
        <v>24</v>
      </c>
    </row>
    <row r="17" spans="1:2" ht="45" customHeight="1" x14ac:dyDescent="0.3">
      <c r="A17" s="6" t="s">
        <v>25</v>
      </c>
      <c r="B17" s="4" t="s">
        <v>26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zoomScaleNormal="100" workbookViewId="0">
      <selection activeCell="H15" sqref="H15"/>
    </sheetView>
  </sheetViews>
  <sheetFormatPr defaultColWidth="8.6640625" defaultRowHeight="14.4" x14ac:dyDescent="0.3"/>
  <cols>
    <col min="1" max="1" width="22" customWidth="1"/>
    <col min="2" max="2" width="23.44140625" customWidth="1"/>
    <col min="3" max="3" width="45.44140625" customWidth="1"/>
    <col min="4" max="4" width="42" customWidth="1"/>
  </cols>
  <sheetData>
    <row r="1" spans="1:4" ht="45" customHeight="1" x14ac:dyDescent="0.3">
      <c r="A1" s="12" t="s">
        <v>27</v>
      </c>
      <c r="B1" s="12"/>
      <c r="C1" s="12"/>
      <c r="D1" s="12"/>
    </row>
    <row r="2" spans="1:4" ht="43.8" customHeight="1" x14ac:dyDescent="0.3">
      <c r="A2" s="13" t="s">
        <v>28</v>
      </c>
      <c r="B2" s="13"/>
      <c r="C2" s="13"/>
      <c r="D2" s="13"/>
    </row>
    <row r="4" spans="1:4" ht="39.6" x14ac:dyDescent="0.3">
      <c r="A4" s="16" t="s">
        <v>29</v>
      </c>
      <c r="B4" s="17" t="s">
        <v>30</v>
      </c>
      <c r="C4" s="17" t="s">
        <v>31</v>
      </c>
      <c r="D4" s="18" t="s">
        <v>32</v>
      </c>
    </row>
    <row r="5" spans="1:4" x14ac:dyDescent="0.3">
      <c r="A5" s="14" t="s">
        <v>33</v>
      </c>
      <c r="B5" s="9">
        <v>2618</v>
      </c>
      <c r="C5" s="9">
        <v>2146</v>
      </c>
      <c r="D5" s="15">
        <v>81.97</v>
      </c>
    </row>
    <row r="6" spans="1:4" x14ac:dyDescent="0.3">
      <c r="A6" s="14" t="s">
        <v>34</v>
      </c>
      <c r="B6" s="9">
        <v>1111</v>
      </c>
      <c r="C6" s="9">
        <v>877</v>
      </c>
      <c r="D6" s="15">
        <v>78.94</v>
      </c>
    </row>
    <row r="7" spans="1:4" x14ac:dyDescent="0.3">
      <c r="A7" s="14" t="s">
        <v>35</v>
      </c>
      <c r="B7" s="9">
        <v>1028</v>
      </c>
      <c r="C7" s="9">
        <v>1003</v>
      </c>
      <c r="D7" s="15">
        <v>97.57</v>
      </c>
    </row>
    <row r="8" spans="1:4" x14ac:dyDescent="0.3">
      <c r="A8" s="14" t="s">
        <v>36</v>
      </c>
      <c r="B8" s="9">
        <v>1285</v>
      </c>
      <c r="C8" s="9">
        <v>1285</v>
      </c>
      <c r="D8" s="15">
        <v>100</v>
      </c>
    </row>
    <row r="9" spans="1:4" x14ac:dyDescent="0.3">
      <c r="A9" s="14" t="s">
        <v>37</v>
      </c>
      <c r="B9" s="9">
        <v>875</v>
      </c>
      <c r="C9" s="9">
        <v>837</v>
      </c>
      <c r="D9" s="15">
        <v>95.66</v>
      </c>
    </row>
    <row r="10" spans="1:4" x14ac:dyDescent="0.3">
      <c r="A10" s="14" t="s">
        <v>38</v>
      </c>
      <c r="B10" s="9">
        <v>1521</v>
      </c>
      <c r="C10" s="9">
        <v>1357</v>
      </c>
      <c r="D10" s="15">
        <v>89.22</v>
      </c>
    </row>
    <row r="11" spans="1:4" x14ac:dyDescent="0.3">
      <c r="A11" s="14" t="s">
        <v>39</v>
      </c>
      <c r="B11" s="9">
        <v>777</v>
      </c>
      <c r="C11" s="9">
        <v>744</v>
      </c>
      <c r="D11" s="15">
        <v>95.75</v>
      </c>
    </row>
    <row r="12" spans="1:4" x14ac:dyDescent="0.3">
      <c r="A12" s="14" t="s">
        <v>40</v>
      </c>
      <c r="B12" s="9">
        <v>361</v>
      </c>
      <c r="C12" s="9">
        <v>361</v>
      </c>
      <c r="D12" s="15">
        <v>100</v>
      </c>
    </row>
    <row r="13" spans="1:4" x14ac:dyDescent="0.3">
      <c r="A13" s="14" t="s">
        <v>41</v>
      </c>
      <c r="B13" s="9">
        <v>348</v>
      </c>
      <c r="C13" s="9">
        <v>347</v>
      </c>
      <c r="D13" s="15">
        <v>99.71</v>
      </c>
    </row>
    <row r="14" spans="1:4" x14ac:dyDescent="0.3">
      <c r="A14" s="14" t="s">
        <v>42</v>
      </c>
      <c r="B14" s="9">
        <v>7886</v>
      </c>
      <c r="C14" s="9">
        <v>4786</v>
      </c>
      <c r="D14" s="15">
        <v>60.69</v>
      </c>
    </row>
    <row r="15" spans="1:4" x14ac:dyDescent="0.3">
      <c r="A15" s="14" t="s">
        <v>43</v>
      </c>
      <c r="B15" s="9">
        <v>743</v>
      </c>
      <c r="C15" s="9">
        <v>727</v>
      </c>
      <c r="D15" s="15">
        <v>97.85</v>
      </c>
    </row>
    <row r="16" spans="1:4" x14ac:dyDescent="0.3">
      <c r="A16" s="14" t="s">
        <v>44</v>
      </c>
      <c r="B16" s="9">
        <v>473</v>
      </c>
      <c r="C16" s="9">
        <v>473</v>
      </c>
      <c r="D16" s="15">
        <v>100</v>
      </c>
    </row>
    <row r="17" spans="1:4" x14ac:dyDescent="0.3">
      <c r="A17" s="14" t="s">
        <v>45</v>
      </c>
      <c r="B17" s="9">
        <v>1805</v>
      </c>
      <c r="C17" s="9">
        <v>788</v>
      </c>
      <c r="D17" s="15">
        <v>43.66</v>
      </c>
    </row>
    <row r="18" spans="1:4" x14ac:dyDescent="0.3">
      <c r="A18" s="14" t="s">
        <v>46</v>
      </c>
      <c r="B18" s="9">
        <v>897</v>
      </c>
      <c r="C18" s="9">
        <v>870</v>
      </c>
      <c r="D18" s="15">
        <v>96.99</v>
      </c>
    </row>
    <row r="19" spans="1:4" x14ac:dyDescent="0.3">
      <c r="A19" s="14" t="s">
        <v>47</v>
      </c>
      <c r="B19" s="9">
        <v>5278</v>
      </c>
      <c r="C19" s="9">
        <v>4477</v>
      </c>
      <c r="D19" s="15">
        <v>84.82</v>
      </c>
    </row>
    <row r="20" spans="1:4" x14ac:dyDescent="0.3">
      <c r="A20" s="14" t="s">
        <v>48</v>
      </c>
      <c r="B20" s="9">
        <v>3462</v>
      </c>
      <c r="C20" s="9">
        <v>3033</v>
      </c>
      <c r="D20" s="15">
        <v>87.61</v>
      </c>
    </row>
    <row r="21" spans="1:4" x14ac:dyDescent="0.3">
      <c r="A21" s="14" t="s">
        <v>49</v>
      </c>
      <c r="B21" s="9">
        <v>3719</v>
      </c>
      <c r="C21" s="9">
        <v>2336</v>
      </c>
      <c r="D21" s="15">
        <v>62.81</v>
      </c>
    </row>
    <row r="22" spans="1:4" x14ac:dyDescent="0.3">
      <c r="A22" s="14" t="s">
        <v>50</v>
      </c>
      <c r="B22" s="9">
        <v>5224</v>
      </c>
      <c r="C22" s="9">
        <v>4714</v>
      </c>
      <c r="D22" s="15">
        <v>90.24</v>
      </c>
    </row>
    <row r="23" spans="1:4" x14ac:dyDescent="0.3">
      <c r="A23" s="14" t="s">
        <v>51</v>
      </c>
      <c r="B23" s="9">
        <v>1948</v>
      </c>
      <c r="C23" s="9">
        <v>1923</v>
      </c>
      <c r="D23" s="15">
        <v>98.72</v>
      </c>
    </row>
    <row r="24" spans="1:4" x14ac:dyDescent="0.3">
      <c r="A24" s="14" t="s">
        <v>52</v>
      </c>
      <c r="B24" s="9">
        <v>927</v>
      </c>
      <c r="C24" s="9">
        <v>771</v>
      </c>
      <c r="D24" s="15">
        <v>83.17</v>
      </c>
    </row>
    <row r="25" spans="1:4" x14ac:dyDescent="0.3">
      <c r="A25" s="14" t="s">
        <v>53</v>
      </c>
      <c r="B25" s="9">
        <v>1332</v>
      </c>
      <c r="C25" s="9">
        <v>1332</v>
      </c>
      <c r="D25" s="15">
        <v>100</v>
      </c>
    </row>
    <row r="26" spans="1:4" x14ac:dyDescent="0.3">
      <c r="A26" s="14" t="s">
        <v>54</v>
      </c>
      <c r="B26" s="9">
        <v>2029</v>
      </c>
      <c r="C26" s="9">
        <v>2029</v>
      </c>
      <c r="D26" s="15">
        <v>100</v>
      </c>
    </row>
    <row r="27" spans="1:4" x14ac:dyDescent="0.3">
      <c r="A27" s="14" t="s">
        <v>55</v>
      </c>
      <c r="B27" s="9">
        <v>3647</v>
      </c>
      <c r="C27" s="9">
        <v>3647</v>
      </c>
      <c r="D27" s="15">
        <v>100</v>
      </c>
    </row>
    <row r="28" spans="1:4" x14ac:dyDescent="0.3">
      <c r="A28" s="14" t="s">
        <v>56</v>
      </c>
      <c r="B28" s="9">
        <v>7830</v>
      </c>
      <c r="C28" s="9">
        <v>6337</v>
      </c>
      <c r="D28" s="15">
        <v>80.930000000000007</v>
      </c>
    </row>
    <row r="29" spans="1:4" x14ac:dyDescent="0.3">
      <c r="A29" s="14" t="s">
        <v>57</v>
      </c>
      <c r="B29" s="9">
        <v>576</v>
      </c>
      <c r="C29" s="9">
        <v>432</v>
      </c>
      <c r="D29" s="15">
        <v>75</v>
      </c>
    </row>
    <row r="30" spans="1:4" x14ac:dyDescent="0.3">
      <c r="A30" s="14" t="s">
        <v>58</v>
      </c>
      <c r="B30" s="9">
        <v>1147</v>
      </c>
      <c r="C30" s="9">
        <v>1147</v>
      </c>
      <c r="D30" s="15">
        <v>100</v>
      </c>
    </row>
    <row r="31" spans="1:4" x14ac:dyDescent="0.3">
      <c r="A31" s="14" t="s">
        <v>59</v>
      </c>
      <c r="B31" s="9">
        <v>913</v>
      </c>
      <c r="C31" s="9">
        <v>865</v>
      </c>
      <c r="D31" s="15">
        <v>94.74</v>
      </c>
    </row>
    <row r="32" spans="1:4" x14ac:dyDescent="0.3">
      <c r="A32" s="14" t="s">
        <v>60</v>
      </c>
      <c r="B32" s="9">
        <v>1870</v>
      </c>
      <c r="C32" s="9">
        <v>1860</v>
      </c>
      <c r="D32" s="15">
        <v>99.47</v>
      </c>
    </row>
    <row r="33" spans="1:4" x14ac:dyDescent="0.3">
      <c r="A33" s="14" t="s">
        <v>61</v>
      </c>
      <c r="B33" s="9">
        <v>2145</v>
      </c>
      <c r="C33" s="9">
        <v>2050</v>
      </c>
      <c r="D33" s="15">
        <v>95.57</v>
      </c>
    </row>
    <row r="34" spans="1:4" x14ac:dyDescent="0.3">
      <c r="A34" s="14" t="s">
        <v>62</v>
      </c>
      <c r="B34" s="9">
        <v>487</v>
      </c>
      <c r="C34" s="9">
        <v>423</v>
      </c>
      <c r="D34" s="15">
        <v>86.86</v>
      </c>
    </row>
    <row r="35" spans="1:4" x14ac:dyDescent="0.3">
      <c r="A35" s="19" t="s">
        <v>63</v>
      </c>
      <c r="B35" s="20">
        <v>774</v>
      </c>
      <c r="C35" s="20">
        <v>585</v>
      </c>
      <c r="D35" s="21">
        <v>75.58</v>
      </c>
    </row>
    <row r="36" spans="1:4" x14ac:dyDescent="0.3">
      <c r="A36" s="5" t="s">
        <v>64</v>
      </c>
      <c r="B36" s="10">
        <f>SUM(B5:B35)</f>
        <v>65036</v>
      </c>
      <c r="C36" s="10">
        <f>SUM(C5:C35)</f>
        <v>54562</v>
      </c>
      <c r="D36" s="10" t="s">
        <v>65</v>
      </c>
    </row>
    <row r="37" spans="1:4" x14ac:dyDescent="0.3">
      <c r="A37" s="3" t="s">
        <v>66</v>
      </c>
      <c r="B37" s="9">
        <v>65036</v>
      </c>
      <c r="C37" s="9">
        <v>54562</v>
      </c>
      <c r="D37" s="9">
        <v>83.9</v>
      </c>
    </row>
    <row r="38" spans="1:4" x14ac:dyDescent="0.3">
      <c r="A38" s="3" t="s">
        <v>67</v>
      </c>
      <c r="B38" s="11" t="str">
        <f>IF(ROUND(B36-B37,1)=0,"OK","CHECK")</f>
        <v>OK</v>
      </c>
      <c r="C38" s="11" t="str">
        <f>IF(ROUND(C36-C37,1)=0,"OK","CHECK")</f>
        <v>OK</v>
      </c>
      <c r="D38" s="11" t="s">
        <v>68</v>
      </c>
    </row>
    <row r="40" spans="1:4" ht="42" customHeight="1" x14ac:dyDescent="0.3">
      <c r="A40" s="1" t="s">
        <v>69</v>
      </c>
      <c r="B40" s="1"/>
      <c r="C40" s="1"/>
      <c r="D40" s="1"/>
    </row>
  </sheetData>
  <mergeCells count="3">
    <mergeCell ref="A1:D1"/>
    <mergeCell ref="A2:D2"/>
    <mergeCell ref="A40:D4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>
      <selection activeCell="I20" sqref="I20"/>
    </sheetView>
  </sheetViews>
  <sheetFormatPr defaultColWidth="8.6640625" defaultRowHeight="14.4" x14ac:dyDescent="0.3"/>
  <cols>
    <col min="1" max="1" width="22" customWidth="1"/>
    <col min="2" max="2" width="13.44140625" customWidth="1"/>
    <col min="3" max="3" width="22" customWidth="1"/>
    <col min="4" max="4" width="25.109375" customWidth="1"/>
    <col min="5" max="5" width="26.109375" customWidth="1"/>
    <col min="6" max="6" width="21.21875" customWidth="1"/>
  </cols>
  <sheetData>
    <row r="1" spans="1:6" ht="29.4" customHeight="1" x14ac:dyDescent="0.3">
      <c r="A1" s="12" t="s">
        <v>70</v>
      </c>
      <c r="B1" s="12"/>
      <c r="C1" s="12"/>
      <c r="D1" s="12"/>
      <c r="E1" s="12"/>
      <c r="F1" s="12"/>
    </row>
    <row r="2" spans="1:6" ht="27.6" customHeight="1" x14ac:dyDescent="0.3">
      <c r="A2" s="13" t="s">
        <v>71</v>
      </c>
      <c r="B2" s="13"/>
      <c r="C2" s="13"/>
      <c r="D2" s="13"/>
      <c r="E2" s="13"/>
      <c r="F2" s="13"/>
    </row>
    <row r="4" spans="1:6" ht="26.4" x14ac:dyDescent="0.3">
      <c r="A4" s="16" t="s">
        <v>29</v>
      </c>
      <c r="B4" s="17" t="s">
        <v>72</v>
      </c>
      <c r="C4" s="17" t="s">
        <v>73</v>
      </c>
      <c r="D4" s="17" t="s">
        <v>74</v>
      </c>
      <c r="E4" s="17" t="s">
        <v>75</v>
      </c>
      <c r="F4" s="18" t="s">
        <v>76</v>
      </c>
    </row>
    <row r="5" spans="1:6" x14ac:dyDescent="0.3">
      <c r="A5" s="14" t="s">
        <v>33</v>
      </c>
      <c r="B5" s="9">
        <v>719</v>
      </c>
      <c r="C5" s="9">
        <v>159</v>
      </c>
      <c r="D5" s="9">
        <v>1262</v>
      </c>
      <c r="E5" s="9">
        <v>223098</v>
      </c>
      <c r="F5" s="15">
        <v>11632</v>
      </c>
    </row>
    <row r="6" spans="1:6" x14ac:dyDescent="0.3">
      <c r="A6" s="14" t="s">
        <v>34</v>
      </c>
      <c r="B6" s="9">
        <v>328</v>
      </c>
      <c r="C6" s="9">
        <v>15</v>
      </c>
      <c r="D6" s="9">
        <v>392</v>
      </c>
      <c r="E6" s="9">
        <v>41851</v>
      </c>
      <c r="F6" s="15">
        <v>2832</v>
      </c>
    </row>
    <row r="7" spans="1:6" x14ac:dyDescent="0.3">
      <c r="A7" s="14" t="s">
        <v>35</v>
      </c>
      <c r="B7" s="9">
        <v>399</v>
      </c>
      <c r="C7" s="9">
        <v>35</v>
      </c>
      <c r="D7" s="9">
        <v>4698</v>
      </c>
      <c r="E7" s="9">
        <v>134224</v>
      </c>
      <c r="F7" s="15">
        <v>3723</v>
      </c>
    </row>
    <row r="8" spans="1:6" x14ac:dyDescent="0.3">
      <c r="A8" s="14" t="s">
        <v>36</v>
      </c>
      <c r="B8" s="9">
        <v>362</v>
      </c>
      <c r="C8" s="9">
        <v>74</v>
      </c>
      <c r="D8" s="9">
        <v>4979</v>
      </c>
      <c r="E8" s="9">
        <v>73315</v>
      </c>
      <c r="F8" s="15">
        <v>3523</v>
      </c>
    </row>
    <row r="9" spans="1:6" x14ac:dyDescent="0.3">
      <c r="A9" s="14" t="s">
        <v>37</v>
      </c>
      <c r="B9" s="9">
        <v>299</v>
      </c>
      <c r="C9" s="9">
        <v>81</v>
      </c>
      <c r="D9" s="9">
        <v>2397</v>
      </c>
      <c r="E9" s="9">
        <v>70244</v>
      </c>
      <c r="F9" s="15">
        <v>1782</v>
      </c>
    </row>
    <row r="10" spans="1:6" x14ac:dyDescent="0.3">
      <c r="A10" s="14" t="s">
        <v>38</v>
      </c>
      <c r="B10" s="9">
        <v>290</v>
      </c>
      <c r="C10" s="9">
        <v>24</v>
      </c>
      <c r="D10" s="9">
        <v>3042</v>
      </c>
      <c r="E10" s="9">
        <v>72905</v>
      </c>
      <c r="F10" s="15">
        <v>4081</v>
      </c>
    </row>
    <row r="11" spans="1:6" x14ac:dyDescent="0.3">
      <c r="A11" s="14" t="s">
        <v>39</v>
      </c>
      <c r="B11" s="9">
        <v>220</v>
      </c>
      <c r="C11" s="9">
        <v>31</v>
      </c>
      <c r="D11" s="9">
        <v>1964</v>
      </c>
      <c r="E11" s="9">
        <v>90870</v>
      </c>
      <c r="F11" s="15">
        <v>92834</v>
      </c>
    </row>
    <row r="12" spans="1:6" x14ac:dyDescent="0.3">
      <c r="A12" s="14" t="s">
        <v>40</v>
      </c>
      <c r="B12" s="9">
        <v>168</v>
      </c>
      <c r="C12" s="9">
        <v>50</v>
      </c>
      <c r="D12" s="9">
        <v>3296</v>
      </c>
      <c r="E12" s="9">
        <v>94605</v>
      </c>
      <c r="F12" s="15">
        <v>2467</v>
      </c>
    </row>
    <row r="13" spans="1:6" x14ac:dyDescent="0.3">
      <c r="A13" s="14" t="s">
        <v>41</v>
      </c>
      <c r="B13" s="9">
        <v>208</v>
      </c>
      <c r="C13" s="9">
        <v>67</v>
      </c>
      <c r="D13" s="9">
        <v>8432</v>
      </c>
      <c r="E13" s="9">
        <v>145362</v>
      </c>
      <c r="F13" s="15">
        <v>13478</v>
      </c>
    </row>
    <row r="14" spans="1:6" x14ac:dyDescent="0.3">
      <c r="A14" s="14" t="s">
        <v>42</v>
      </c>
      <c r="B14" s="9">
        <v>485</v>
      </c>
      <c r="C14" s="9">
        <v>9</v>
      </c>
      <c r="D14" s="9">
        <v>962</v>
      </c>
      <c r="E14" s="9">
        <v>393497</v>
      </c>
      <c r="F14" s="15">
        <v>23101</v>
      </c>
    </row>
    <row r="15" spans="1:6" x14ac:dyDescent="0.3">
      <c r="A15" s="14" t="s">
        <v>43</v>
      </c>
      <c r="B15" s="9">
        <v>257</v>
      </c>
      <c r="C15" s="9">
        <v>143</v>
      </c>
      <c r="D15" s="9">
        <v>4352</v>
      </c>
      <c r="E15" s="9">
        <v>209476</v>
      </c>
      <c r="F15" s="15">
        <v>7580</v>
      </c>
    </row>
    <row r="16" spans="1:6" x14ac:dyDescent="0.3">
      <c r="A16" s="14" t="s">
        <v>44</v>
      </c>
      <c r="B16" s="9">
        <v>202</v>
      </c>
      <c r="C16" s="9">
        <v>52</v>
      </c>
      <c r="D16" s="9">
        <v>832</v>
      </c>
      <c r="E16" s="9">
        <v>155075</v>
      </c>
      <c r="F16" s="15">
        <v>3687</v>
      </c>
    </row>
    <row r="17" spans="1:6" x14ac:dyDescent="0.3">
      <c r="A17" s="14" t="s">
        <v>45</v>
      </c>
      <c r="B17" s="9">
        <v>321</v>
      </c>
      <c r="C17" s="9">
        <v>3</v>
      </c>
      <c r="D17" s="9">
        <v>75</v>
      </c>
      <c r="E17" s="9">
        <v>112282</v>
      </c>
      <c r="F17" s="15">
        <v>3019</v>
      </c>
    </row>
    <row r="18" spans="1:6" x14ac:dyDescent="0.3">
      <c r="A18" s="14" t="s">
        <v>46</v>
      </c>
      <c r="B18" s="9">
        <v>261</v>
      </c>
      <c r="C18" s="9">
        <v>15</v>
      </c>
      <c r="D18" s="9">
        <v>3283</v>
      </c>
      <c r="E18" s="9">
        <v>105246</v>
      </c>
      <c r="F18" s="15">
        <v>6086</v>
      </c>
    </row>
    <row r="19" spans="1:6" x14ac:dyDescent="0.3">
      <c r="A19" s="14" t="s">
        <v>47</v>
      </c>
      <c r="B19" s="9">
        <v>359</v>
      </c>
      <c r="C19" s="9">
        <v>199</v>
      </c>
      <c r="D19" s="9">
        <v>19153</v>
      </c>
      <c r="E19" s="9">
        <v>487440</v>
      </c>
      <c r="F19" s="15">
        <v>16240</v>
      </c>
    </row>
    <row r="20" spans="1:6" x14ac:dyDescent="0.3">
      <c r="A20" s="14" t="s">
        <v>48</v>
      </c>
      <c r="B20" s="9">
        <v>323</v>
      </c>
      <c r="C20" s="9">
        <v>39</v>
      </c>
      <c r="D20" s="9">
        <v>2006</v>
      </c>
      <c r="E20" s="9">
        <v>186098</v>
      </c>
      <c r="F20" s="15">
        <v>10069</v>
      </c>
    </row>
    <row r="21" spans="1:6" x14ac:dyDescent="0.3">
      <c r="A21" s="14" t="s">
        <v>49</v>
      </c>
      <c r="B21" s="9">
        <v>303</v>
      </c>
      <c r="C21" s="9">
        <v>204</v>
      </c>
      <c r="D21" s="9">
        <v>9129</v>
      </c>
      <c r="E21" s="9">
        <v>127727</v>
      </c>
      <c r="F21" s="15">
        <v>8955</v>
      </c>
    </row>
    <row r="22" spans="1:6" x14ac:dyDescent="0.3">
      <c r="A22" s="14" t="s">
        <v>50</v>
      </c>
      <c r="B22" s="9">
        <v>566</v>
      </c>
      <c r="C22" s="9">
        <v>1</v>
      </c>
      <c r="D22" s="9">
        <v>188</v>
      </c>
      <c r="E22" s="9">
        <v>167525</v>
      </c>
      <c r="F22" s="15">
        <v>6930</v>
      </c>
    </row>
    <row r="23" spans="1:6" x14ac:dyDescent="0.3">
      <c r="A23" s="14" t="s">
        <v>51</v>
      </c>
      <c r="B23" s="9">
        <v>221</v>
      </c>
      <c r="C23" s="9">
        <v>6</v>
      </c>
      <c r="D23" s="9">
        <v>883</v>
      </c>
      <c r="E23" s="9">
        <v>100654</v>
      </c>
      <c r="F23" s="15">
        <v>5693</v>
      </c>
    </row>
    <row r="24" spans="1:6" x14ac:dyDescent="0.3">
      <c r="A24" s="14" t="s">
        <v>52</v>
      </c>
      <c r="B24" s="9">
        <v>279</v>
      </c>
      <c r="C24" s="9">
        <v>542</v>
      </c>
      <c r="D24" s="9">
        <v>274524</v>
      </c>
      <c r="E24" s="9">
        <v>145208</v>
      </c>
      <c r="F24" s="15">
        <v>1190604</v>
      </c>
    </row>
    <row r="25" spans="1:6" x14ac:dyDescent="0.3">
      <c r="A25" s="14" t="s">
        <v>53</v>
      </c>
      <c r="B25" s="9">
        <v>134</v>
      </c>
      <c r="C25" s="9">
        <v>33</v>
      </c>
      <c r="D25" s="9">
        <v>25290</v>
      </c>
      <c r="E25" s="9">
        <v>63984</v>
      </c>
      <c r="F25" s="15">
        <v>7145</v>
      </c>
    </row>
    <row r="26" spans="1:6" x14ac:dyDescent="0.3">
      <c r="A26" s="14" t="s">
        <v>54</v>
      </c>
      <c r="B26" s="9">
        <v>353</v>
      </c>
      <c r="C26" s="9">
        <v>44</v>
      </c>
      <c r="D26" s="9">
        <v>4386</v>
      </c>
      <c r="E26" s="9">
        <v>61752</v>
      </c>
      <c r="F26" s="15">
        <v>4779</v>
      </c>
    </row>
    <row r="27" spans="1:6" x14ac:dyDescent="0.3">
      <c r="A27" s="14" t="s">
        <v>55</v>
      </c>
      <c r="B27" s="9">
        <v>416</v>
      </c>
      <c r="C27" s="9">
        <v>87</v>
      </c>
      <c r="D27" s="9">
        <v>5305</v>
      </c>
      <c r="E27" s="9">
        <v>167557</v>
      </c>
      <c r="F27" s="15">
        <v>5305</v>
      </c>
    </row>
    <row r="28" spans="1:6" x14ac:dyDescent="0.3">
      <c r="A28" s="14" t="s">
        <v>56</v>
      </c>
      <c r="B28" s="9">
        <v>471</v>
      </c>
      <c r="C28" s="9">
        <v>57</v>
      </c>
      <c r="D28" s="9">
        <v>12027</v>
      </c>
      <c r="E28" s="9">
        <v>279146</v>
      </c>
      <c r="F28" s="15">
        <v>18577</v>
      </c>
    </row>
    <row r="29" spans="1:6" x14ac:dyDescent="0.3">
      <c r="A29" s="14" t="s">
        <v>57</v>
      </c>
      <c r="B29" s="9">
        <v>213</v>
      </c>
      <c r="C29" s="9">
        <v>70</v>
      </c>
      <c r="D29" s="9">
        <v>10244</v>
      </c>
      <c r="E29" s="9">
        <v>152763</v>
      </c>
      <c r="F29" s="15">
        <v>10244</v>
      </c>
    </row>
    <row r="30" spans="1:6" x14ac:dyDescent="0.3">
      <c r="A30" s="14" t="s">
        <v>58</v>
      </c>
      <c r="B30" s="9">
        <v>393</v>
      </c>
      <c r="C30" s="9">
        <v>29</v>
      </c>
      <c r="D30" s="9">
        <v>30931</v>
      </c>
      <c r="E30" s="9">
        <v>195485</v>
      </c>
      <c r="F30" s="15">
        <v>24442</v>
      </c>
    </row>
    <row r="31" spans="1:6" x14ac:dyDescent="0.3">
      <c r="A31" s="14" t="s">
        <v>59</v>
      </c>
      <c r="B31" s="9">
        <v>209</v>
      </c>
      <c r="C31" s="9">
        <v>32</v>
      </c>
      <c r="D31" s="9">
        <v>2427</v>
      </c>
      <c r="E31" s="9">
        <v>46762</v>
      </c>
      <c r="F31" s="15">
        <v>2427</v>
      </c>
    </row>
    <row r="32" spans="1:6" x14ac:dyDescent="0.3">
      <c r="A32" s="14" t="s">
        <v>60</v>
      </c>
      <c r="B32" s="9">
        <v>198</v>
      </c>
      <c r="C32" s="9">
        <v>28</v>
      </c>
      <c r="D32" s="9">
        <v>2829</v>
      </c>
      <c r="E32" s="9">
        <v>115527</v>
      </c>
      <c r="F32" s="15">
        <v>2829</v>
      </c>
    </row>
    <row r="33" spans="1:6" x14ac:dyDescent="0.3">
      <c r="A33" s="14" t="s">
        <v>61</v>
      </c>
      <c r="B33" s="9">
        <v>183</v>
      </c>
      <c r="C33" s="9">
        <v>9</v>
      </c>
      <c r="D33" s="9">
        <v>4005</v>
      </c>
      <c r="E33" s="9">
        <v>54800</v>
      </c>
      <c r="F33" s="15">
        <v>3750</v>
      </c>
    </row>
    <row r="34" spans="1:6" x14ac:dyDescent="0.3">
      <c r="A34" s="14" t="s">
        <v>62</v>
      </c>
      <c r="B34" s="9">
        <v>204</v>
      </c>
      <c r="C34" s="9">
        <v>29</v>
      </c>
      <c r="D34" s="9">
        <v>770</v>
      </c>
      <c r="E34" s="9">
        <v>48876</v>
      </c>
      <c r="F34" s="15">
        <v>711</v>
      </c>
    </row>
    <row r="35" spans="1:6" x14ac:dyDescent="0.3">
      <c r="A35" s="19" t="s">
        <v>63</v>
      </c>
      <c r="B35" s="20">
        <v>247</v>
      </c>
      <c r="C35" s="20">
        <v>46</v>
      </c>
      <c r="D35" s="20">
        <v>449</v>
      </c>
      <c r="E35" s="20">
        <v>108599</v>
      </c>
      <c r="F35" s="21">
        <v>2220</v>
      </c>
    </row>
    <row r="36" spans="1:6" x14ac:dyDescent="0.3">
      <c r="A36" s="5" t="s">
        <v>64</v>
      </c>
      <c r="B36" s="10">
        <f>SUM(B5:B35)</f>
        <v>9591</v>
      </c>
      <c r="C36" s="10">
        <f>SUM(C5:C35)</f>
        <v>2213</v>
      </c>
      <c r="D36" s="10">
        <f>SUM(D5:D35)</f>
        <v>444512</v>
      </c>
      <c r="E36" s="10">
        <f>SUM(E5:E35)</f>
        <v>4431953</v>
      </c>
      <c r="F36" s="10">
        <f>SUM(F5:F35)</f>
        <v>1500745</v>
      </c>
    </row>
    <row r="37" spans="1:6" x14ac:dyDescent="0.3">
      <c r="A37" s="3" t="s">
        <v>66</v>
      </c>
      <c r="B37" s="9">
        <v>9591</v>
      </c>
      <c r="C37" s="9">
        <v>2213</v>
      </c>
      <c r="D37" s="9">
        <v>444512</v>
      </c>
      <c r="E37" s="9">
        <v>4431953</v>
      </c>
      <c r="F37" s="9">
        <v>1500745</v>
      </c>
    </row>
    <row r="38" spans="1:6" x14ac:dyDescent="0.3">
      <c r="A38" s="3" t="s">
        <v>67</v>
      </c>
      <c r="B38" s="11" t="str">
        <f>IF(ROUND(B36-B37,1)=0,"OK","CHECK")</f>
        <v>OK</v>
      </c>
      <c r="C38" s="11" t="str">
        <f>IF(ROUND(C36-C37,1)=0,"OK","CHECK")</f>
        <v>OK</v>
      </c>
      <c r="D38" s="11" t="str">
        <f>IF(ROUND(D36-D37,1)=0,"OK","CHECK")</f>
        <v>OK</v>
      </c>
      <c r="E38" s="11" t="str">
        <f>IF(ROUND(E36-E37,1)=0,"OK","CHECK")</f>
        <v>OK</v>
      </c>
      <c r="F38" s="11" t="str">
        <f>IF(ROUND(F36-F37,1)=0,"OK","CHECK")</f>
        <v>OK</v>
      </c>
    </row>
    <row r="40" spans="1:6" ht="42" customHeight="1" x14ac:dyDescent="0.3">
      <c r="A40" s="1" t="s">
        <v>69</v>
      </c>
      <c r="B40" s="1"/>
      <c r="C40" s="1"/>
      <c r="D40" s="1"/>
      <c r="E40" s="1"/>
      <c r="F40" s="1"/>
    </row>
  </sheetData>
  <mergeCells count="3">
    <mergeCell ref="A1:F1"/>
    <mergeCell ref="A2:F2"/>
    <mergeCell ref="A40:F4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zoomScaleNormal="100" workbookViewId="0">
      <selection activeCell="H9" sqref="H9"/>
    </sheetView>
  </sheetViews>
  <sheetFormatPr defaultColWidth="8.6640625" defaultRowHeight="14.4" x14ac:dyDescent="0.3"/>
  <cols>
    <col min="1" max="1" width="22" customWidth="1"/>
    <col min="2" max="2" width="20.44140625" customWidth="1"/>
    <col min="3" max="3" width="24.44140625" customWidth="1"/>
    <col min="4" max="4" width="24.109375" customWidth="1"/>
    <col min="5" max="5" width="14" customWidth="1"/>
  </cols>
  <sheetData>
    <row r="1" spans="1:5" ht="45.6" customHeight="1" x14ac:dyDescent="0.3">
      <c r="A1" s="12" t="s">
        <v>77</v>
      </c>
      <c r="B1" s="12"/>
      <c r="C1" s="12"/>
      <c r="D1" s="12"/>
      <c r="E1" s="12"/>
    </row>
    <row r="2" spans="1:5" ht="45.6" customHeight="1" x14ac:dyDescent="0.3">
      <c r="A2" s="13" t="s">
        <v>78</v>
      </c>
      <c r="B2" s="13"/>
      <c r="C2" s="13"/>
      <c r="D2" s="13"/>
      <c r="E2" s="13"/>
    </row>
    <row r="4" spans="1:5" ht="26.4" x14ac:dyDescent="0.3">
      <c r="A4" s="16" t="s">
        <v>29</v>
      </c>
      <c r="B4" s="17" t="s">
        <v>79</v>
      </c>
      <c r="C4" s="17" t="s">
        <v>80</v>
      </c>
      <c r="D4" s="17" t="s">
        <v>81</v>
      </c>
      <c r="E4" s="18" t="s">
        <v>82</v>
      </c>
    </row>
    <row r="5" spans="1:5" x14ac:dyDescent="0.3">
      <c r="A5" s="14" t="s">
        <v>33</v>
      </c>
      <c r="B5" s="9">
        <v>1211</v>
      </c>
      <c r="C5" s="9">
        <v>61582</v>
      </c>
      <c r="D5" s="9">
        <v>66957</v>
      </c>
      <c r="E5" s="15">
        <v>128539</v>
      </c>
    </row>
    <row r="6" spans="1:5" x14ac:dyDescent="0.3">
      <c r="A6" s="14" t="s">
        <v>34</v>
      </c>
      <c r="B6" s="9">
        <v>462</v>
      </c>
      <c r="C6" s="9">
        <v>44760</v>
      </c>
      <c r="D6" s="9">
        <v>50435</v>
      </c>
      <c r="E6" s="15">
        <v>95195</v>
      </c>
    </row>
    <row r="7" spans="1:5" x14ac:dyDescent="0.3">
      <c r="A7" s="14" t="s">
        <v>35</v>
      </c>
      <c r="B7" s="9">
        <v>796</v>
      </c>
      <c r="C7" s="9">
        <v>69444</v>
      </c>
      <c r="D7" s="9">
        <v>73464</v>
      </c>
      <c r="E7" s="15">
        <v>142908</v>
      </c>
    </row>
    <row r="8" spans="1:5" x14ac:dyDescent="0.3">
      <c r="A8" s="14" t="s">
        <v>36</v>
      </c>
      <c r="B8" s="9">
        <v>771</v>
      </c>
      <c r="C8" s="9">
        <v>13472</v>
      </c>
      <c r="D8" s="9">
        <v>15235</v>
      </c>
      <c r="E8" s="15">
        <v>28707</v>
      </c>
    </row>
    <row r="9" spans="1:5" x14ac:dyDescent="0.3">
      <c r="A9" s="14" t="s">
        <v>37</v>
      </c>
      <c r="B9" s="9">
        <v>493</v>
      </c>
      <c r="C9" s="9">
        <v>5374</v>
      </c>
      <c r="D9" s="9">
        <v>6194</v>
      </c>
      <c r="E9" s="15">
        <v>11568</v>
      </c>
    </row>
    <row r="10" spans="1:5" x14ac:dyDescent="0.3">
      <c r="A10" s="14" t="s">
        <v>38</v>
      </c>
      <c r="B10" s="9">
        <v>660</v>
      </c>
      <c r="C10" s="9">
        <v>64028</v>
      </c>
      <c r="D10" s="9">
        <v>68310</v>
      </c>
      <c r="E10" s="15">
        <v>132338</v>
      </c>
    </row>
    <row r="11" spans="1:5" x14ac:dyDescent="0.3">
      <c r="A11" s="14" t="s">
        <v>39</v>
      </c>
      <c r="B11" s="9">
        <v>370</v>
      </c>
      <c r="C11" s="9">
        <v>48087</v>
      </c>
      <c r="D11" s="9">
        <v>49137</v>
      </c>
      <c r="E11" s="15">
        <v>97224</v>
      </c>
    </row>
    <row r="12" spans="1:5" x14ac:dyDescent="0.3">
      <c r="A12" s="14" t="s">
        <v>40</v>
      </c>
      <c r="B12" s="9">
        <v>183</v>
      </c>
      <c r="C12" s="9">
        <v>26402</v>
      </c>
      <c r="D12" s="9">
        <v>27814</v>
      </c>
      <c r="E12" s="15">
        <v>54216</v>
      </c>
    </row>
    <row r="13" spans="1:5" x14ac:dyDescent="0.3">
      <c r="A13" s="14" t="s">
        <v>41</v>
      </c>
      <c r="B13" s="9">
        <v>217</v>
      </c>
      <c r="C13" s="9">
        <v>4147</v>
      </c>
      <c r="D13" s="9">
        <v>4909</v>
      </c>
      <c r="E13" s="15">
        <v>9056</v>
      </c>
    </row>
    <row r="14" spans="1:5" x14ac:dyDescent="0.3">
      <c r="A14" s="14" t="s">
        <v>42</v>
      </c>
      <c r="B14" s="9">
        <v>1034</v>
      </c>
      <c r="C14" s="9">
        <v>9444</v>
      </c>
      <c r="D14" s="9">
        <v>9438</v>
      </c>
      <c r="E14" s="15">
        <v>18882</v>
      </c>
    </row>
    <row r="15" spans="1:5" x14ac:dyDescent="0.3">
      <c r="A15" s="14" t="s">
        <v>43</v>
      </c>
      <c r="B15" s="9">
        <v>447</v>
      </c>
      <c r="C15" s="9">
        <v>39351</v>
      </c>
      <c r="D15" s="9">
        <v>42288</v>
      </c>
      <c r="E15" s="15">
        <v>81639</v>
      </c>
    </row>
    <row r="16" spans="1:5" x14ac:dyDescent="0.3">
      <c r="A16" s="14" t="s">
        <v>44</v>
      </c>
      <c r="B16" s="9">
        <v>230</v>
      </c>
      <c r="C16" s="9">
        <v>30384</v>
      </c>
      <c r="D16" s="9">
        <v>34385</v>
      </c>
      <c r="E16" s="15">
        <v>64769</v>
      </c>
    </row>
    <row r="17" spans="1:5" x14ac:dyDescent="0.3">
      <c r="A17" s="14" t="s">
        <v>45</v>
      </c>
      <c r="B17" s="9">
        <v>792</v>
      </c>
      <c r="C17" s="9">
        <v>33170</v>
      </c>
      <c r="D17" s="9">
        <v>34197</v>
      </c>
      <c r="E17" s="15">
        <v>67367</v>
      </c>
    </row>
    <row r="18" spans="1:5" x14ac:dyDescent="0.3">
      <c r="A18" s="14" t="s">
        <v>46</v>
      </c>
      <c r="B18" s="9">
        <v>482</v>
      </c>
      <c r="C18" s="9">
        <v>5827</v>
      </c>
      <c r="D18" s="9">
        <v>6423</v>
      </c>
      <c r="E18" s="15">
        <v>12250</v>
      </c>
    </row>
    <row r="19" spans="1:5" x14ac:dyDescent="0.3">
      <c r="A19" s="14" t="s">
        <v>47</v>
      </c>
      <c r="B19" s="9">
        <v>902</v>
      </c>
      <c r="C19" s="9">
        <v>34160</v>
      </c>
      <c r="D19" s="9">
        <v>33746</v>
      </c>
      <c r="E19" s="15">
        <v>67906</v>
      </c>
    </row>
    <row r="20" spans="1:5" x14ac:dyDescent="0.3">
      <c r="A20" s="14" t="s">
        <v>48</v>
      </c>
      <c r="B20" s="9">
        <v>202</v>
      </c>
      <c r="C20" s="9">
        <v>2085</v>
      </c>
      <c r="D20" s="9">
        <v>1935</v>
      </c>
      <c r="E20" s="15">
        <v>4020</v>
      </c>
    </row>
    <row r="21" spans="1:5" x14ac:dyDescent="0.3">
      <c r="A21" s="14" t="s">
        <v>49</v>
      </c>
      <c r="B21" s="9">
        <v>620</v>
      </c>
      <c r="C21" s="9">
        <v>16620</v>
      </c>
      <c r="D21" s="9">
        <v>16401</v>
      </c>
      <c r="E21" s="15">
        <v>33021</v>
      </c>
    </row>
    <row r="22" spans="1:5" x14ac:dyDescent="0.3">
      <c r="A22" s="14" t="s">
        <v>50</v>
      </c>
      <c r="B22" s="9">
        <v>1898</v>
      </c>
      <c r="C22" s="9">
        <v>40792</v>
      </c>
      <c r="D22" s="9">
        <v>41908</v>
      </c>
      <c r="E22" s="15">
        <v>82700</v>
      </c>
    </row>
    <row r="23" spans="1:5" x14ac:dyDescent="0.3">
      <c r="A23" s="14" t="s">
        <v>51</v>
      </c>
      <c r="B23" s="9">
        <v>1171</v>
      </c>
      <c r="C23" s="9">
        <v>20124</v>
      </c>
      <c r="D23" s="9">
        <v>21656</v>
      </c>
      <c r="E23" s="15">
        <v>41780</v>
      </c>
    </row>
    <row r="24" spans="1:5" x14ac:dyDescent="0.3">
      <c r="A24" s="14" t="s">
        <v>52</v>
      </c>
      <c r="B24" s="9">
        <v>873</v>
      </c>
      <c r="C24" s="9">
        <v>33317</v>
      </c>
      <c r="D24" s="9">
        <v>31925</v>
      </c>
      <c r="E24" s="15">
        <v>65242</v>
      </c>
    </row>
    <row r="25" spans="1:5" x14ac:dyDescent="0.3">
      <c r="A25" s="14" t="s">
        <v>53</v>
      </c>
      <c r="B25" s="9">
        <v>608</v>
      </c>
      <c r="C25" s="9">
        <v>5096</v>
      </c>
      <c r="D25" s="9">
        <v>5111</v>
      </c>
      <c r="E25" s="15">
        <v>10207</v>
      </c>
    </row>
    <row r="26" spans="1:5" x14ac:dyDescent="0.3">
      <c r="A26" s="14" t="s">
        <v>54</v>
      </c>
      <c r="B26" s="9">
        <v>704</v>
      </c>
      <c r="C26" s="9">
        <v>5753</v>
      </c>
      <c r="D26" s="9">
        <v>5673</v>
      </c>
      <c r="E26" s="15">
        <v>11426</v>
      </c>
    </row>
    <row r="27" spans="1:5" x14ac:dyDescent="0.3">
      <c r="A27" s="14" t="s">
        <v>55</v>
      </c>
      <c r="B27" s="9">
        <v>1254</v>
      </c>
      <c r="C27" s="9">
        <v>20253</v>
      </c>
      <c r="D27" s="9">
        <v>20925</v>
      </c>
      <c r="E27" s="15">
        <v>41178</v>
      </c>
    </row>
    <row r="28" spans="1:5" x14ac:dyDescent="0.3">
      <c r="A28" s="14" t="s">
        <v>56</v>
      </c>
      <c r="B28" s="9">
        <v>234</v>
      </c>
      <c r="C28" s="9">
        <v>2469</v>
      </c>
      <c r="D28" s="9">
        <v>2449</v>
      </c>
      <c r="E28" s="15">
        <v>4918</v>
      </c>
    </row>
    <row r="29" spans="1:5" x14ac:dyDescent="0.3">
      <c r="A29" s="14" t="s">
        <v>57</v>
      </c>
      <c r="B29" s="9">
        <v>363</v>
      </c>
      <c r="C29" s="9">
        <v>5536</v>
      </c>
      <c r="D29" s="9">
        <v>5346</v>
      </c>
      <c r="E29" s="15">
        <v>10882</v>
      </c>
    </row>
    <row r="30" spans="1:5" x14ac:dyDescent="0.3">
      <c r="A30" s="14" t="s">
        <v>58</v>
      </c>
      <c r="B30" s="9">
        <v>912</v>
      </c>
      <c r="C30" s="9">
        <v>34521</v>
      </c>
      <c r="D30" s="9">
        <v>35986</v>
      </c>
      <c r="E30" s="15">
        <v>70507</v>
      </c>
    </row>
    <row r="31" spans="1:5" x14ac:dyDescent="0.3">
      <c r="A31" s="14" t="s">
        <v>59</v>
      </c>
      <c r="B31" s="9">
        <v>316</v>
      </c>
      <c r="C31" s="9">
        <v>14467</v>
      </c>
      <c r="D31" s="9">
        <v>14834</v>
      </c>
      <c r="E31" s="15">
        <v>29301</v>
      </c>
    </row>
    <row r="32" spans="1:5" x14ac:dyDescent="0.3">
      <c r="A32" s="14" t="s">
        <v>60</v>
      </c>
      <c r="B32" s="9">
        <v>865</v>
      </c>
      <c r="C32" s="9">
        <v>20210</v>
      </c>
      <c r="D32" s="9">
        <v>21533</v>
      </c>
      <c r="E32" s="15">
        <v>41743</v>
      </c>
    </row>
    <row r="33" spans="1:5" x14ac:dyDescent="0.3">
      <c r="A33" s="14" t="s">
        <v>61</v>
      </c>
      <c r="B33" s="9">
        <v>703</v>
      </c>
      <c r="C33" s="9">
        <v>5339</v>
      </c>
      <c r="D33" s="9">
        <v>5196</v>
      </c>
      <c r="E33" s="15">
        <v>10535</v>
      </c>
    </row>
    <row r="34" spans="1:5" x14ac:dyDescent="0.3">
      <c r="A34" s="14" t="s">
        <v>62</v>
      </c>
      <c r="B34" s="9">
        <v>454</v>
      </c>
      <c r="C34" s="9">
        <v>43713</v>
      </c>
      <c r="D34" s="9">
        <v>45550</v>
      </c>
      <c r="E34" s="15">
        <v>89263</v>
      </c>
    </row>
    <row r="35" spans="1:5" x14ac:dyDescent="0.3">
      <c r="A35" s="19" t="s">
        <v>63</v>
      </c>
      <c r="B35" s="20">
        <v>447</v>
      </c>
      <c r="C35" s="20">
        <v>9674</v>
      </c>
      <c r="D35" s="20">
        <v>8312</v>
      </c>
      <c r="E35" s="21">
        <v>17986</v>
      </c>
    </row>
    <row r="36" spans="1:5" x14ac:dyDescent="0.3">
      <c r="A36" s="5" t="s">
        <v>64</v>
      </c>
      <c r="B36" s="10">
        <f>SUM(B5:B35)</f>
        <v>20674</v>
      </c>
      <c r="C36" s="10">
        <f>SUM(C5:C35)</f>
        <v>769601</v>
      </c>
      <c r="D36" s="10">
        <f>SUM(D5:D35)</f>
        <v>807672</v>
      </c>
      <c r="E36" s="10">
        <f>SUM(E5:E35)</f>
        <v>1577273</v>
      </c>
    </row>
    <row r="37" spans="1:5" x14ac:dyDescent="0.3">
      <c r="A37" s="3" t="s">
        <v>66</v>
      </c>
      <c r="B37" s="9">
        <v>20674</v>
      </c>
      <c r="C37" s="9">
        <v>769601</v>
      </c>
      <c r="D37" s="9">
        <v>807672</v>
      </c>
      <c r="E37" s="9">
        <v>1577273</v>
      </c>
    </row>
    <row r="38" spans="1:5" x14ac:dyDescent="0.3">
      <c r="A38" s="3" t="s">
        <v>67</v>
      </c>
      <c r="B38" s="11" t="str">
        <f>IF(ROUND(B36-B37,1)=0,"OK","CHECK")</f>
        <v>OK</v>
      </c>
      <c r="C38" s="11" t="str">
        <f>IF(ROUND(C36-C37,1)=0,"OK","CHECK")</f>
        <v>OK</v>
      </c>
      <c r="D38" s="11" t="str">
        <f>IF(ROUND(D36-D37,1)=0,"OK","CHECK")</f>
        <v>OK</v>
      </c>
      <c r="E38" s="11" t="str">
        <f>IF(ROUND(E36-E37,1)=0,"OK","CHECK")</f>
        <v>OK</v>
      </c>
    </row>
    <row r="40" spans="1:5" ht="42" customHeight="1" x14ac:dyDescent="0.3">
      <c r="A40" s="1" t="s">
        <v>69</v>
      </c>
      <c r="B40" s="1"/>
      <c r="C40" s="1"/>
      <c r="D40" s="1"/>
      <c r="E40" s="1"/>
    </row>
  </sheetData>
  <mergeCells count="3">
    <mergeCell ref="A1:E1"/>
    <mergeCell ref="A2:E2"/>
    <mergeCell ref="A40:E4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zoomScaleNormal="100" workbookViewId="0">
      <selection activeCell="A3" sqref="A1:A1048576"/>
    </sheetView>
  </sheetViews>
  <sheetFormatPr defaultColWidth="8.6640625" defaultRowHeight="14.4" x14ac:dyDescent="0.3"/>
  <cols>
    <col min="1" max="1" width="22" customWidth="1"/>
    <col min="2" max="2" width="15" customWidth="1"/>
    <col min="3" max="4" width="16" customWidth="1"/>
    <col min="5" max="5" width="14" customWidth="1"/>
  </cols>
  <sheetData>
    <row r="1" spans="1:5" ht="37.200000000000003" customHeight="1" x14ac:dyDescent="0.3">
      <c r="A1" s="12" t="s">
        <v>83</v>
      </c>
      <c r="B1" s="12"/>
      <c r="C1" s="12"/>
      <c r="D1" s="12"/>
      <c r="E1" s="12"/>
    </row>
    <row r="2" spans="1:5" ht="47.4" customHeight="1" x14ac:dyDescent="0.3">
      <c r="A2" s="13" t="s">
        <v>84</v>
      </c>
      <c r="B2" s="13"/>
      <c r="C2" s="13"/>
      <c r="D2" s="13"/>
      <c r="E2" s="13"/>
    </row>
    <row r="4" spans="1:5" ht="26.4" x14ac:dyDescent="0.3">
      <c r="A4" s="7" t="s">
        <v>29</v>
      </c>
      <c r="B4" s="7" t="s">
        <v>79</v>
      </c>
      <c r="C4" s="7" t="s">
        <v>80</v>
      </c>
      <c r="D4" s="7" t="s">
        <v>81</v>
      </c>
      <c r="E4" s="7" t="s">
        <v>82</v>
      </c>
    </row>
    <row r="5" spans="1:5" x14ac:dyDescent="0.3">
      <c r="A5" s="8" t="s">
        <v>33</v>
      </c>
      <c r="B5" s="9">
        <v>2307</v>
      </c>
      <c r="C5" s="9">
        <v>160756</v>
      </c>
      <c r="D5" s="9">
        <v>157531</v>
      </c>
      <c r="E5" s="9">
        <v>318287</v>
      </c>
    </row>
    <row r="6" spans="1:5" x14ac:dyDescent="0.3">
      <c r="A6" s="8" t="s">
        <v>34</v>
      </c>
      <c r="B6" s="9">
        <v>792</v>
      </c>
      <c r="C6" s="9">
        <v>28742</v>
      </c>
      <c r="D6" s="9">
        <v>31204</v>
      </c>
      <c r="E6" s="9">
        <v>59946</v>
      </c>
    </row>
    <row r="7" spans="1:5" x14ac:dyDescent="0.3">
      <c r="A7" s="8" t="s">
        <v>35</v>
      </c>
      <c r="B7" s="9">
        <v>990</v>
      </c>
      <c r="C7" s="9">
        <v>38250</v>
      </c>
      <c r="D7" s="9">
        <v>43121</v>
      </c>
      <c r="E7" s="9">
        <v>81371</v>
      </c>
    </row>
    <row r="8" spans="1:5" x14ac:dyDescent="0.3">
      <c r="A8" s="8" t="s">
        <v>36</v>
      </c>
      <c r="B8" s="9">
        <v>1070</v>
      </c>
      <c r="C8" s="9">
        <v>82272</v>
      </c>
      <c r="D8" s="9">
        <v>90279</v>
      </c>
      <c r="E8" s="9">
        <v>172551</v>
      </c>
    </row>
    <row r="9" spans="1:5" x14ac:dyDescent="0.3">
      <c r="A9" s="8" t="s">
        <v>37</v>
      </c>
      <c r="B9" s="9">
        <v>734</v>
      </c>
      <c r="C9" s="9">
        <v>12047</v>
      </c>
      <c r="D9" s="9">
        <v>15336</v>
      </c>
      <c r="E9" s="9">
        <v>27383</v>
      </c>
    </row>
    <row r="10" spans="1:5" x14ac:dyDescent="0.3">
      <c r="A10" s="8" t="s">
        <v>38</v>
      </c>
      <c r="B10" s="9">
        <v>797</v>
      </c>
      <c r="C10" s="9">
        <v>35757</v>
      </c>
      <c r="D10" s="9">
        <v>37739</v>
      </c>
      <c r="E10" s="9">
        <v>73496</v>
      </c>
    </row>
    <row r="11" spans="1:5" x14ac:dyDescent="0.3">
      <c r="A11" s="8" t="s">
        <v>39</v>
      </c>
      <c r="B11" s="9">
        <v>584</v>
      </c>
      <c r="C11" s="9">
        <v>27940</v>
      </c>
      <c r="D11" s="9">
        <v>28300</v>
      </c>
      <c r="E11" s="9">
        <v>56240</v>
      </c>
    </row>
    <row r="12" spans="1:5" x14ac:dyDescent="0.3">
      <c r="A12" s="8" t="s">
        <v>40</v>
      </c>
      <c r="B12" s="9">
        <v>399</v>
      </c>
      <c r="C12" s="9">
        <v>14686</v>
      </c>
      <c r="D12" s="9">
        <v>16446</v>
      </c>
      <c r="E12" s="9">
        <v>31132</v>
      </c>
    </row>
    <row r="13" spans="1:5" x14ac:dyDescent="0.3">
      <c r="A13" s="8" t="s">
        <v>41</v>
      </c>
      <c r="B13" s="9">
        <v>522</v>
      </c>
      <c r="C13" s="9">
        <v>44797</v>
      </c>
      <c r="D13" s="9">
        <v>48664</v>
      </c>
      <c r="E13" s="9">
        <v>93461</v>
      </c>
    </row>
    <row r="14" spans="1:5" x14ac:dyDescent="0.3">
      <c r="A14" s="8" t="s">
        <v>42</v>
      </c>
      <c r="B14" s="9">
        <v>976</v>
      </c>
      <c r="C14" s="9">
        <v>36100</v>
      </c>
      <c r="D14" s="9">
        <v>35993</v>
      </c>
      <c r="E14" s="9">
        <v>72093</v>
      </c>
    </row>
    <row r="15" spans="1:5" x14ac:dyDescent="0.3">
      <c r="A15" s="8" t="s">
        <v>43</v>
      </c>
      <c r="B15" s="9">
        <v>678</v>
      </c>
      <c r="C15" s="9">
        <v>21251</v>
      </c>
      <c r="D15" s="9">
        <v>21711</v>
      </c>
      <c r="E15" s="9">
        <v>42962</v>
      </c>
    </row>
    <row r="16" spans="1:5" x14ac:dyDescent="0.3">
      <c r="A16" s="8" t="s">
        <v>44</v>
      </c>
      <c r="B16" s="9">
        <v>385</v>
      </c>
      <c r="C16" s="9">
        <v>20586</v>
      </c>
      <c r="D16" s="9">
        <v>23305</v>
      </c>
      <c r="E16" s="9">
        <v>43891</v>
      </c>
    </row>
    <row r="17" spans="1:5" x14ac:dyDescent="0.3">
      <c r="A17" s="8" t="s">
        <v>45</v>
      </c>
      <c r="B17" s="9">
        <v>833</v>
      </c>
      <c r="C17" s="9">
        <v>16161</v>
      </c>
      <c r="D17" s="9">
        <v>16229</v>
      </c>
      <c r="E17" s="9">
        <v>32390</v>
      </c>
    </row>
    <row r="18" spans="1:5" x14ac:dyDescent="0.3">
      <c r="A18" s="8" t="s">
        <v>46</v>
      </c>
      <c r="B18" s="9">
        <v>579</v>
      </c>
      <c r="C18" s="9">
        <v>29125</v>
      </c>
      <c r="D18" s="9">
        <v>30383</v>
      </c>
      <c r="E18" s="9">
        <v>59508</v>
      </c>
    </row>
    <row r="19" spans="1:5" x14ac:dyDescent="0.3">
      <c r="A19" s="8" t="s">
        <v>47</v>
      </c>
      <c r="B19" s="9">
        <v>979</v>
      </c>
      <c r="C19" s="9">
        <v>20710</v>
      </c>
      <c r="D19" s="9">
        <v>20878</v>
      </c>
      <c r="E19" s="9">
        <v>41588</v>
      </c>
    </row>
    <row r="20" spans="1:5" x14ac:dyDescent="0.3">
      <c r="A20" s="8" t="s">
        <v>48</v>
      </c>
      <c r="B20" s="9">
        <v>358</v>
      </c>
      <c r="C20" s="9">
        <v>18844</v>
      </c>
      <c r="D20" s="9">
        <v>17717</v>
      </c>
      <c r="E20" s="9">
        <v>36561</v>
      </c>
    </row>
    <row r="21" spans="1:5" x14ac:dyDescent="0.3">
      <c r="A21" s="8" t="s">
        <v>49</v>
      </c>
      <c r="B21" s="9">
        <v>696</v>
      </c>
      <c r="C21" s="9">
        <v>11179</v>
      </c>
      <c r="D21" s="9">
        <v>10949</v>
      </c>
      <c r="E21" s="9">
        <v>22128</v>
      </c>
    </row>
    <row r="22" spans="1:5" x14ac:dyDescent="0.3">
      <c r="A22" s="8" t="s">
        <v>50</v>
      </c>
      <c r="B22" s="9">
        <v>1335</v>
      </c>
      <c r="C22" s="9">
        <v>21720</v>
      </c>
      <c r="D22" s="9">
        <v>22270</v>
      </c>
      <c r="E22" s="9">
        <v>43990</v>
      </c>
    </row>
    <row r="23" spans="1:5" x14ac:dyDescent="0.3">
      <c r="A23" s="8" t="s">
        <v>51</v>
      </c>
      <c r="B23" s="9">
        <v>656</v>
      </c>
      <c r="C23" s="9">
        <v>12739</v>
      </c>
      <c r="D23" s="9">
        <v>13640</v>
      </c>
      <c r="E23" s="9">
        <v>26379</v>
      </c>
    </row>
    <row r="24" spans="1:5" x14ac:dyDescent="0.3">
      <c r="A24" s="8" t="s">
        <v>52</v>
      </c>
      <c r="B24" s="9">
        <v>733</v>
      </c>
      <c r="C24" s="9">
        <v>64822</v>
      </c>
      <c r="D24" s="9">
        <v>61997</v>
      </c>
      <c r="E24" s="9">
        <v>126819</v>
      </c>
    </row>
    <row r="25" spans="1:5" x14ac:dyDescent="0.3">
      <c r="A25" s="8" t="s">
        <v>53</v>
      </c>
      <c r="B25" s="9">
        <v>425</v>
      </c>
      <c r="C25" s="9">
        <v>15015</v>
      </c>
      <c r="D25" s="9">
        <v>15371</v>
      </c>
      <c r="E25" s="9">
        <v>30386</v>
      </c>
    </row>
    <row r="26" spans="1:5" x14ac:dyDescent="0.3">
      <c r="A26" s="8" t="s">
        <v>54</v>
      </c>
      <c r="B26" s="9">
        <v>807</v>
      </c>
      <c r="C26" s="9">
        <v>23424</v>
      </c>
      <c r="D26" s="9">
        <v>22941</v>
      </c>
      <c r="E26" s="9">
        <v>46365</v>
      </c>
    </row>
    <row r="27" spans="1:5" x14ac:dyDescent="0.3">
      <c r="A27" s="8" t="s">
        <v>55</v>
      </c>
      <c r="B27" s="9">
        <v>971</v>
      </c>
      <c r="C27" s="9">
        <v>14842</v>
      </c>
      <c r="D27" s="9">
        <v>14837</v>
      </c>
      <c r="E27" s="9">
        <v>29679</v>
      </c>
    </row>
    <row r="28" spans="1:5" x14ac:dyDescent="0.3">
      <c r="A28" s="8" t="s">
        <v>56</v>
      </c>
      <c r="B28" s="9">
        <v>670</v>
      </c>
      <c r="C28" s="9">
        <v>34284</v>
      </c>
      <c r="D28" s="9">
        <v>33178</v>
      </c>
      <c r="E28" s="9">
        <v>67462</v>
      </c>
    </row>
    <row r="29" spans="1:5" x14ac:dyDescent="0.3">
      <c r="A29" s="8" t="s">
        <v>57</v>
      </c>
      <c r="B29" s="9">
        <v>252</v>
      </c>
      <c r="C29" s="9">
        <v>2511</v>
      </c>
      <c r="D29" s="9">
        <v>2484</v>
      </c>
      <c r="E29" s="9">
        <v>4995</v>
      </c>
    </row>
    <row r="30" spans="1:5" x14ac:dyDescent="0.3">
      <c r="A30" s="8" t="s">
        <v>58</v>
      </c>
      <c r="B30" s="9">
        <v>1023</v>
      </c>
      <c r="C30" s="9">
        <v>27404</v>
      </c>
      <c r="D30" s="9">
        <v>28748</v>
      </c>
      <c r="E30" s="9">
        <v>56152</v>
      </c>
    </row>
    <row r="31" spans="1:5" x14ac:dyDescent="0.3">
      <c r="A31" s="8" t="s">
        <v>59</v>
      </c>
      <c r="B31" s="9">
        <v>403</v>
      </c>
      <c r="C31" s="9">
        <v>10427</v>
      </c>
      <c r="D31" s="9">
        <v>10615</v>
      </c>
      <c r="E31" s="9">
        <v>21042</v>
      </c>
    </row>
    <row r="32" spans="1:5" x14ac:dyDescent="0.3">
      <c r="A32" s="8" t="s">
        <v>60</v>
      </c>
      <c r="B32" s="9">
        <v>539</v>
      </c>
      <c r="C32" s="9">
        <v>11480</v>
      </c>
      <c r="D32" s="9">
        <v>12668</v>
      </c>
      <c r="E32" s="9">
        <v>24148</v>
      </c>
    </row>
    <row r="33" spans="1:5" x14ac:dyDescent="0.3">
      <c r="A33" s="8" t="s">
        <v>61</v>
      </c>
      <c r="B33" s="9">
        <v>440</v>
      </c>
      <c r="C33" s="9">
        <v>14315</v>
      </c>
      <c r="D33" s="9">
        <v>14233</v>
      </c>
      <c r="E33" s="9">
        <v>28548</v>
      </c>
    </row>
    <row r="34" spans="1:5" x14ac:dyDescent="0.3">
      <c r="A34" s="8" t="s">
        <v>62</v>
      </c>
      <c r="B34" s="9">
        <v>508</v>
      </c>
      <c r="C34" s="9">
        <v>25149</v>
      </c>
      <c r="D34" s="9">
        <v>27549</v>
      </c>
      <c r="E34" s="9">
        <v>52698</v>
      </c>
    </row>
    <row r="35" spans="1:5" x14ac:dyDescent="0.3">
      <c r="A35" s="8" t="s">
        <v>63</v>
      </c>
      <c r="B35" s="9">
        <v>557</v>
      </c>
      <c r="C35" s="9">
        <v>39314</v>
      </c>
      <c r="D35" s="9">
        <v>38384</v>
      </c>
      <c r="E35" s="9">
        <v>77698</v>
      </c>
    </row>
    <row r="36" spans="1:5" x14ac:dyDescent="0.3">
      <c r="A36" s="5" t="s">
        <v>64</v>
      </c>
      <c r="B36" s="10">
        <f>SUM(B5:B35)</f>
        <v>22998</v>
      </c>
      <c r="C36" s="10">
        <f>SUM(C5:C35)</f>
        <v>936649</v>
      </c>
      <c r="D36" s="10">
        <f>SUM(D5:D35)</f>
        <v>964700</v>
      </c>
      <c r="E36" s="10">
        <f>SUM(E5:E35)</f>
        <v>1901349</v>
      </c>
    </row>
    <row r="37" spans="1:5" x14ac:dyDescent="0.3">
      <c r="A37" s="3" t="s">
        <v>66</v>
      </c>
      <c r="B37" s="9">
        <v>22998</v>
      </c>
      <c r="C37" s="9">
        <v>936649</v>
      </c>
      <c r="D37" s="9">
        <v>964700</v>
      </c>
      <c r="E37" s="9">
        <v>1901349</v>
      </c>
    </row>
    <row r="38" spans="1:5" x14ac:dyDescent="0.3">
      <c r="A38" s="3" t="s">
        <v>67</v>
      </c>
      <c r="B38" s="11" t="str">
        <f>IF(ROUND(B36-B37,1)=0,"OK","CHECK")</f>
        <v>OK</v>
      </c>
      <c r="C38" s="11" t="str">
        <f>IF(ROUND(C36-C37,1)=0,"OK","CHECK")</f>
        <v>OK</v>
      </c>
      <c r="D38" s="11" t="str">
        <f>IF(ROUND(D36-D37,1)=0,"OK","CHECK")</f>
        <v>OK</v>
      </c>
      <c r="E38" s="11" t="str">
        <f>IF(ROUND(E36-E37,1)=0,"OK","CHECK")</f>
        <v>OK</v>
      </c>
    </row>
    <row r="40" spans="1:5" ht="42" customHeight="1" x14ac:dyDescent="0.3">
      <c r="A40" s="1" t="s">
        <v>69</v>
      </c>
      <c r="B40" s="1"/>
      <c r="C40" s="1"/>
      <c r="D40" s="1"/>
      <c r="E40" s="1"/>
    </row>
  </sheetData>
  <mergeCells count="3">
    <mergeCell ref="A1:E1"/>
    <mergeCell ref="A2:E2"/>
    <mergeCell ref="A40:E4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zoomScaleNormal="100" workbookViewId="0">
      <pane ySplit="2" topLeftCell="A3" activePane="bottomLeft" state="frozen"/>
      <selection pane="bottomLeft" activeCell="A2" sqref="A2:E2"/>
    </sheetView>
  </sheetViews>
  <sheetFormatPr defaultColWidth="8.6640625" defaultRowHeight="14.4" x14ac:dyDescent="0.3"/>
  <cols>
    <col min="1" max="1" width="22" customWidth="1"/>
    <col min="2" max="2" width="20.44140625" customWidth="1"/>
    <col min="3" max="3" width="24.44140625" customWidth="1"/>
    <col min="4" max="4" width="24.109375" customWidth="1"/>
    <col min="5" max="5" width="14" customWidth="1"/>
  </cols>
  <sheetData>
    <row r="1" spans="1:5" ht="38.4" customHeight="1" x14ac:dyDescent="0.3">
      <c r="A1" s="12" t="s">
        <v>85</v>
      </c>
      <c r="B1" s="12"/>
      <c r="C1" s="12"/>
      <c r="D1" s="12"/>
      <c r="E1" s="12"/>
    </row>
    <row r="2" spans="1:5" ht="58.8" customHeight="1" x14ac:dyDescent="0.3">
      <c r="A2" s="13" t="s">
        <v>86</v>
      </c>
      <c r="B2" s="13"/>
      <c r="C2" s="13"/>
      <c r="D2" s="13"/>
      <c r="E2" s="13"/>
    </row>
    <row r="4" spans="1:5" ht="26.4" x14ac:dyDescent="0.3">
      <c r="A4" s="16" t="s">
        <v>29</v>
      </c>
      <c r="B4" s="17" t="s">
        <v>79</v>
      </c>
      <c r="C4" s="17" t="s">
        <v>80</v>
      </c>
      <c r="D4" s="17" t="s">
        <v>81</v>
      </c>
      <c r="E4" s="18" t="s">
        <v>82</v>
      </c>
    </row>
    <row r="5" spans="1:5" x14ac:dyDescent="0.3">
      <c r="A5" s="14" t="s">
        <v>33</v>
      </c>
      <c r="B5" s="9">
        <v>380</v>
      </c>
      <c r="C5" s="9">
        <v>48356</v>
      </c>
      <c r="D5" s="9">
        <v>49854</v>
      </c>
      <c r="E5" s="15">
        <v>98210</v>
      </c>
    </row>
    <row r="6" spans="1:5" x14ac:dyDescent="0.3">
      <c r="A6" s="14" t="s">
        <v>34</v>
      </c>
      <c r="B6" s="9">
        <v>192</v>
      </c>
      <c r="C6" s="9">
        <v>17242</v>
      </c>
      <c r="D6" s="9">
        <v>18529</v>
      </c>
      <c r="E6" s="15">
        <v>35771</v>
      </c>
    </row>
    <row r="7" spans="1:5" x14ac:dyDescent="0.3">
      <c r="A7" s="14" t="s">
        <v>35</v>
      </c>
      <c r="B7" s="9">
        <v>203</v>
      </c>
      <c r="C7" s="9">
        <v>28625</v>
      </c>
      <c r="D7" s="9">
        <v>30326</v>
      </c>
      <c r="E7" s="15">
        <v>58951</v>
      </c>
    </row>
    <row r="8" spans="1:5" x14ac:dyDescent="0.3">
      <c r="A8" s="14" t="s">
        <v>36</v>
      </c>
      <c r="B8" s="9">
        <v>377</v>
      </c>
      <c r="C8" s="9">
        <v>23168</v>
      </c>
      <c r="D8" s="9">
        <v>25731</v>
      </c>
      <c r="E8" s="15">
        <v>48899</v>
      </c>
    </row>
    <row r="9" spans="1:5" x14ac:dyDescent="0.3">
      <c r="A9" s="14" t="s">
        <v>37</v>
      </c>
      <c r="B9" s="9">
        <v>167</v>
      </c>
      <c r="C9" s="9">
        <v>7467</v>
      </c>
      <c r="D9" s="9">
        <v>9240</v>
      </c>
      <c r="E9" s="15">
        <v>16707</v>
      </c>
    </row>
    <row r="10" spans="1:5" x14ac:dyDescent="0.3">
      <c r="A10" s="14" t="s">
        <v>38</v>
      </c>
      <c r="B10" s="9">
        <v>233</v>
      </c>
      <c r="C10" s="9">
        <v>22387</v>
      </c>
      <c r="D10" s="9">
        <v>23464</v>
      </c>
      <c r="E10" s="15">
        <v>45851</v>
      </c>
    </row>
    <row r="11" spans="1:5" x14ac:dyDescent="0.3">
      <c r="A11" s="14" t="s">
        <v>39</v>
      </c>
      <c r="B11" s="9">
        <v>213</v>
      </c>
      <c r="C11" s="9">
        <v>16760</v>
      </c>
      <c r="D11" s="9">
        <v>17827</v>
      </c>
      <c r="E11" s="15">
        <v>34587</v>
      </c>
    </row>
    <row r="12" spans="1:5" x14ac:dyDescent="0.3">
      <c r="A12" s="14" t="s">
        <v>40</v>
      </c>
      <c r="B12" s="9">
        <v>115</v>
      </c>
      <c r="C12" s="9">
        <v>6409</v>
      </c>
      <c r="D12" s="9">
        <v>7694</v>
      </c>
      <c r="E12" s="15">
        <v>14103</v>
      </c>
    </row>
    <row r="13" spans="1:5" x14ac:dyDescent="0.3">
      <c r="A13" s="14" t="s">
        <v>41</v>
      </c>
      <c r="B13" s="9">
        <v>166</v>
      </c>
      <c r="C13" s="9">
        <v>24784</v>
      </c>
      <c r="D13" s="9">
        <v>25091</v>
      </c>
      <c r="E13" s="15">
        <v>49875</v>
      </c>
    </row>
    <row r="14" spans="1:5" x14ac:dyDescent="0.3">
      <c r="A14" s="14" t="s">
        <v>42</v>
      </c>
      <c r="B14" s="9">
        <v>125</v>
      </c>
      <c r="C14" s="9">
        <v>10937</v>
      </c>
      <c r="D14" s="9">
        <v>11175</v>
      </c>
      <c r="E14" s="15">
        <v>22112</v>
      </c>
    </row>
    <row r="15" spans="1:5" x14ac:dyDescent="0.3">
      <c r="A15" s="14" t="s">
        <v>43</v>
      </c>
      <c r="B15" s="9">
        <v>158</v>
      </c>
      <c r="C15" s="9">
        <v>9228</v>
      </c>
      <c r="D15" s="9">
        <v>9441</v>
      </c>
      <c r="E15" s="15">
        <v>18669</v>
      </c>
    </row>
    <row r="16" spans="1:5" x14ac:dyDescent="0.3">
      <c r="A16" s="14" t="s">
        <v>44</v>
      </c>
      <c r="B16" s="9">
        <v>154</v>
      </c>
      <c r="C16" s="9">
        <v>13105</v>
      </c>
      <c r="D16" s="9">
        <v>14740</v>
      </c>
      <c r="E16" s="15">
        <v>27845</v>
      </c>
    </row>
    <row r="17" spans="1:5" x14ac:dyDescent="0.3">
      <c r="A17" s="14" t="s">
        <v>45</v>
      </c>
      <c r="B17" s="9">
        <v>159</v>
      </c>
      <c r="C17" s="9">
        <v>8540</v>
      </c>
      <c r="D17" s="9">
        <v>9029</v>
      </c>
      <c r="E17" s="15">
        <v>17569</v>
      </c>
    </row>
    <row r="18" spans="1:5" x14ac:dyDescent="0.3">
      <c r="A18" s="14" t="s">
        <v>46</v>
      </c>
      <c r="B18" s="9">
        <v>168</v>
      </c>
      <c r="C18" s="9">
        <v>13958</v>
      </c>
      <c r="D18" s="9">
        <v>15761</v>
      </c>
      <c r="E18" s="15">
        <v>29719</v>
      </c>
    </row>
    <row r="19" spans="1:5" x14ac:dyDescent="0.3">
      <c r="A19" s="14" t="s">
        <v>47</v>
      </c>
      <c r="B19" s="9">
        <v>207</v>
      </c>
      <c r="C19" s="9">
        <v>17070</v>
      </c>
      <c r="D19" s="9">
        <v>17974</v>
      </c>
      <c r="E19" s="15">
        <v>35044</v>
      </c>
    </row>
    <row r="20" spans="1:5" x14ac:dyDescent="0.3">
      <c r="A20" s="14" t="s">
        <v>48</v>
      </c>
      <c r="B20" s="9">
        <v>119</v>
      </c>
      <c r="C20" s="9">
        <v>10749</v>
      </c>
      <c r="D20" s="9">
        <v>10050</v>
      </c>
      <c r="E20" s="15">
        <v>20799</v>
      </c>
    </row>
    <row r="21" spans="1:5" x14ac:dyDescent="0.3">
      <c r="A21" s="14" t="s">
        <v>49</v>
      </c>
      <c r="B21" s="9">
        <v>158</v>
      </c>
      <c r="C21" s="9">
        <v>6563</v>
      </c>
      <c r="D21" s="9">
        <v>6886</v>
      </c>
      <c r="E21" s="15">
        <v>13449</v>
      </c>
    </row>
    <row r="22" spans="1:5" x14ac:dyDescent="0.3">
      <c r="A22" s="14" t="s">
        <v>50</v>
      </c>
      <c r="B22" s="9">
        <v>293</v>
      </c>
      <c r="C22" s="9">
        <v>17575</v>
      </c>
      <c r="D22" s="9">
        <v>18792</v>
      </c>
      <c r="E22" s="15">
        <v>36367</v>
      </c>
    </row>
    <row r="23" spans="1:5" x14ac:dyDescent="0.3">
      <c r="A23" s="14" t="s">
        <v>51</v>
      </c>
      <c r="B23" s="9">
        <v>157</v>
      </c>
      <c r="C23" s="9">
        <v>8361</v>
      </c>
      <c r="D23" s="9">
        <v>8955</v>
      </c>
      <c r="E23" s="15">
        <v>17316</v>
      </c>
    </row>
    <row r="24" spans="1:5" x14ac:dyDescent="0.3">
      <c r="A24" s="14" t="s">
        <v>52</v>
      </c>
      <c r="B24" s="9">
        <v>150</v>
      </c>
      <c r="C24" s="9">
        <v>15019</v>
      </c>
      <c r="D24" s="9">
        <v>14622</v>
      </c>
      <c r="E24" s="15">
        <v>29641</v>
      </c>
    </row>
    <row r="25" spans="1:5" x14ac:dyDescent="0.3">
      <c r="A25" s="14" t="s">
        <v>53</v>
      </c>
      <c r="B25" s="9">
        <v>64</v>
      </c>
      <c r="C25" s="9">
        <v>6636</v>
      </c>
      <c r="D25" s="9">
        <v>6574</v>
      </c>
      <c r="E25" s="15">
        <v>13210</v>
      </c>
    </row>
    <row r="26" spans="1:5" x14ac:dyDescent="0.3">
      <c r="A26" s="14" t="s">
        <v>54</v>
      </c>
      <c r="B26" s="9">
        <v>259</v>
      </c>
      <c r="C26" s="9">
        <v>12534</v>
      </c>
      <c r="D26" s="9">
        <v>12063</v>
      </c>
      <c r="E26" s="15">
        <v>24597</v>
      </c>
    </row>
    <row r="27" spans="1:5" x14ac:dyDescent="0.3">
      <c r="A27" s="14" t="s">
        <v>55</v>
      </c>
      <c r="B27" s="9">
        <v>289</v>
      </c>
      <c r="C27" s="9">
        <v>9905</v>
      </c>
      <c r="D27" s="9">
        <v>10623</v>
      </c>
      <c r="E27" s="15">
        <v>20528</v>
      </c>
    </row>
    <row r="28" spans="1:5" x14ac:dyDescent="0.3">
      <c r="A28" s="14" t="s">
        <v>56</v>
      </c>
      <c r="B28" s="9">
        <v>197</v>
      </c>
      <c r="C28" s="9">
        <v>16145</v>
      </c>
      <c r="D28" s="9">
        <v>15520</v>
      </c>
      <c r="E28" s="15">
        <v>31665</v>
      </c>
    </row>
    <row r="29" spans="1:5" x14ac:dyDescent="0.3">
      <c r="A29" s="14" t="s">
        <v>57</v>
      </c>
      <c r="B29" s="9">
        <v>47</v>
      </c>
      <c r="C29" s="9">
        <v>1605</v>
      </c>
      <c r="D29" s="9">
        <v>1676</v>
      </c>
      <c r="E29" s="15">
        <v>3281</v>
      </c>
    </row>
    <row r="30" spans="1:5" x14ac:dyDescent="0.3">
      <c r="A30" s="14" t="s">
        <v>58</v>
      </c>
      <c r="B30" s="9">
        <v>281</v>
      </c>
      <c r="C30" s="9">
        <v>21788</v>
      </c>
      <c r="D30" s="9">
        <v>22743</v>
      </c>
      <c r="E30" s="15">
        <v>44531</v>
      </c>
    </row>
    <row r="31" spans="1:5" x14ac:dyDescent="0.3">
      <c r="A31" s="14" t="s">
        <v>59</v>
      </c>
      <c r="B31" s="9">
        <v>86</v>
      </c>
      <c r="C31" s="9">
        <v>6162</v>
      </c>
      <c r="D31" s="9">
        <v>6468</v>
      </c>
      <c r="E31" s="15">
        <v>12630</v>
      </c>
    </row>
    <row r="32" spans="1:5" x14ac:dyDescent="0.3">
      <c r="A32" s="14" t="s">
        <v>60</v>
      </c>
      <c r="B32" s="9">
        <v>118</v>
      </c>
      <c r="C32" s="9">
        <v>8536</v>
      </c>
      <c r="D32" s="9">
        <v>8709</v>
      </c>
      <c r="E32" s="15">
        <v>17245</v>
      </c>
    </row>
    <row r="33" spans="1:5" x14ac:dyDescent="0.3">
      <c r="A33" s="14" t="s">
        <v>61</v>
      </c>
      <c r="B33" s="9">
        <v>138</v>
      </c>
      <c r="C33" s="9">
        <v>9760</v>
      </c>
      <c r="D33" s="9">
        <v>9833</v>
      </c>
      <c r="E33" s="15">
        <v>19593</v>
      </c>
    </row>
    <row r="34" spans="1:5" x14ac:dyDescent="0.3">
      <c r="A34" s="14" t="s">
        <v>62</v>
      </c>
      <c r="B34" s="9">
        <v>175</v>
      </c>
      <c r="C34" s="9">
        <v>13264</v>
      </c>
      <c r="D34" s="9">
        <v>14487</v>
      </c>
      <c r="E34" s="15">
        <v>27751</v>
      </c>
    </row>
    <row r="35" spans="1:5" x14ac:dyDescent="0.3">
      <c r="A35" s="19" t="s">
        <v>63</v>
      </c>
      <c r="B35" s="20">
        <v>121</v>
      </c>
      <c r="C35" s="20">
        <v>13272</v>
      </c>
      <c r="D35" s="20">
        <v>14091</v>
      </c>
      <c r="E35" s="21">
        <v>27363</v>
      </c>
    </row>
    <row r="36" spans="1:5" x14ac:dyDescent="0.3">
      <c r="A36" s="5" t="s">
        <v>64</v>
      </c>
      <c r="B36" s="10">
        <f>SUM(B5:B35)</f>
        <v>5669</v>
      </c>
      <c r="C36" s="10">
        <f>SUM(C5:C35)</f>
        <v>445910</v>
      </c>
      <c r="D36" s="10">
        <f>SUM(D5:D35)</f>
        <v>467968</v>
      </c>
      <c r="E36" s="10">
        <f>SUM(E5:E35)</f>
        <v>913878</v>
      </c>
    </row>
    <row r="37" spans="1:5" x14ac:dyDescent="0.3">
      <c r="A37" s="3" t="s">
        <v>66</v>
      </c>
      <c r="B37" s="9">
        <v>5669</v>
      </c>
      <c r="C37" s="9">
        <v>445910</v>
      </c>
      <c r="D37" s="9">
        <v>467968</v>
      </c>
      <c r="E37" s="9">
        <v>913878</v>
      </c>
    </row>
    <row r="38" spans="1:5" x14ac:dyDescent="0.3">
      <c r="A38" s="3" t="s">
        <v>67</v>
      </c>
      <c r="B38" s="11" t="str">
        <f>IF(ROUND(B36-B37,1)=0,"OK","CHECK")</f>
        <v>OK</v>
      </c>
      <c r="C38" s="11" t="str">
        <f>IF(ROUND(C36-C37,1)=0,"OK","CHECK")</f>
        <v>OK</v>
      </c>
      <c r="D38" s="11" t="str">
        <f>IF(ROUND(D36-D37,1)=0,"OK","CHECK")</f>
        <v>OK</v>
      </c>
      <c r="E38" s="11" t="str">
        <f>IF(ROUND(E36-E37,1)=0,"OK","CHECK")</f>
        <v>OK</v>
      </c>
    </row>
    <row r="40" spans="1:5" ht="42" customHeight="1" x14ac:dyDescent="0.3">
      <c r="A40" s="1" t="s">
        <v>69</v>
      </c>
      <c r="B40" s="1"/>
      <c r="C40" s="1"/>
      <c r="D40" s="1"/>
      <c r="E40" s="1"/>
    </row>
  </sheetData>
  <mergeCells count="3">
    <mergeCell ref="A1:E1"/>
    <mergeCell ref="A2:E2"/>
    <mergeCell ref="A40:E4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zoomScaleNormal="100" workbookViewId="0">
      <selection activeCell="D26" sqref="D26"/>
    </sheetView>
  </sheetViews>
  <sheetFormatPr defaultColWidth="8.6640625" defaultRowHeight="14.4" x14ac:dyDescent="0.3"/>
  <cols>
    <col min="1" max="1" width="22" customWidth="1"/>
    <col min="2" max="2" width="20.6640625" customWidth="1"/>
    <col min="3" max="3" width="20.33203125" customWidth="1"/>
    <col min="4" max="4" width="20.5546875" customWidth="1"/>
    <col min="5" max="5" width="20.109375" customWidth="1"/>
    <col min="6" max="6" width="19.77734375" customWidth="1"/>
    <col min="7" max="7" width="20" customWidth="1"/>
    <col min="8" max="8" width="26" customWidth="1"/>
  </cols>
  <sheetData>
    <row r="1" spans="1:8" ht="16.8" x14ac:dyDescent="0.3">
      <c r="A1" s="12" t="s">
        <v>87</v>
      </c>
      <c r="B1" s="12"/>
      <c r="C1" s="12"/>
      <c r="D1" s="12"/>
      <c r="E1" s="12"/>
      <c r="F1" s="12"/>
      <c r="G1" s="12"/>
      <c r="H1" s="12"/>
    </row>
    <row r="2" spans="1:8" ht="27" customHeight="1" x14ac:dyDescent="0.3">
      <c r="A2" s="13" t="s">
        <v>88</v>
      </c>
      <c r="B2" s="13"/>
      <c r="C2" s="13"/>
      <c r="D2" s="13"/>
      <c r="E2" s="13"/>
      <c r="F2" s="13"/>
      <c r="G2" s="13"/>
      <c r="H2" s="13"/>
    </row>
    <row r="4" spans="1:8" ht="26.4" x14ac:dyDescent="0.3">
      <c r="A4" s="16" t="s">
        <v>29</v>
      </c>
      <c r="B4" s="17" t="s">
        <v>89</v>
      </c>
      <c r="C4" s="17" t="s">
        <v>90</v>
      </c>
      <c r="D4" s="17" t="s">
        <v>91</v>
      </c>
      <c r="E4" s="17" t="s">
        <v>92</v>
      </c>
      <c r="F4" s="17" t="s">
        <v>93</v>
      </c>
      <c r="G4" s="17" t="s">
        <v>94</v>
      </c>
      <c r="H4" s="18" t="s">
        <v>95</v>
      </c>
    </row>
    <row r="5" spans="1:8" x14ac:dyDescent="0.3">
      <c r="A5" s="14" t="s">
        <v>33</v>
      </c>
      <c r="B5" s="9">
        <v>368133</v>
      </c>
      <c r="C5" s="9">
        <v>342907</v>
      </c>
      <c r="D5" s="9">
        <v>711040</v>
      </c>
      <c r="E5" s="9">
        <v>39</v>
      </c>
      <c r="F5" s="9">
        <v>48</v>
      </c>
      <c r="G5" s="9">
        <v>87</v>
      </c>
      <c r="H5" s="15">
        <v>0.01</v>
      </c>
    </row>
    <row r="6" spans="1:8" x14ac:dyDescent="0.3">
      <c r="A6" s="14" t="s">
        <v>34</v>
      </c>
      <c r="B6" s="9">
        <v>154939</v>
      </c>
      <c r="C6" s="9">
        <v>143296</v>
      </c>
      <c r="D6" s="9">
        <v>298235</v>
      </c>
      <c r="E6" s="9">
        <v>5</v>
      </c>
      <c r="F6" s="9">
        <v>14</v>
      </c>
      <c r="G6" s="9">
        <v>19</v>
      </c>
      <c r="H6" s="15">
        <v>0.01</v>
      </c>
    </row>
    <row r="7" spans="1:8" x14ac:dyDescent="0.3">
      <c r="A7" s="14" t="s">
        <v>35</v>
      </c>
      <c r="B7" s="9">
        <v>272528</v>
      </c>
      <c r="C7" s="9">
        <v>246314</v>
      </c>
      <c r="D7" s="9">
        <v>518842</v>
      </c>
      <c r="E7" s="9">
        <v>47</v>
      </c>
      <c r="F7" s="9">
        <v>60</v>
      </c>
      <c r="G7" s="9">
        <v>107</v>
      </c>
      <c r="H7" s="15">
        <v>0.02</v>
      </c>
    </row>
    <row r="8" spans="1:8" x14ac:dyDescent="0.3">
      <c r="A8" s="14" t="s">
        <v>36</v>
      </c>
      <c r="B8" s="9">
        <v>218021</v>
      </c>
      <c r="C8" s="9">
        <v>202116</v>
      </c>
      <c r="D8" s="9">
        <v>420137</v>
      </c>
      <c r="E8" s="9">
        <v>244</v>
      </c>
      <c r="F8" s="9">
        <v>260</v>
      </c>
      <c r="G8" s="9">
        <v>504</v>
      </c>
      <c r="H8" s="15">
        <v>0.12</v>
      </c>
    </row>
    <row r="9" spans="1:8" x14ac:dyDescent="0.3">
      <c r="A9" s="14" t="s">
        <v>37</v>
      </c>
      <c r="B9" s="9">
        <v>128151</v>
      </c>
      <c r="C9" s="9">
        <v>119075</v>
      </c>
      <c r="D9" s="9">
        <v>247226</v>
      </c>
      <c r="E9" s="9">
        <v>113</v>
      </c>
      <c r="F9" s="9">
        <v>106</v>
      </c>
      <c r="G9" s="9">
        <v>219</v>
      </c>
      <c r="H9" s="15">
        <v>0.09</v>
      </c>
    </row>
    <row r="10" spans="1:8" x14ac:dyDescent="0.3">
      <c r="A10" s="14" t="s">
        <v>38</v>
      </c>
      <c r="B10" s="9">
        <v>63422</v>
      </c>
      <c r="C10" s="9">
        <v>46245</v>
      </c>
      <c r="D10" s="9">
        <v>109667</v>
      </c>
      <c r="E10" s="9">
        <v>0</v>
      </c>
      <c r="F10" s="9">
        <v>0</v>
      </c>
      <c r="G10" s="9">
        <v>0</v>
      </c>
      <c r="H10" s="15">
        <v>0</v>
      </c>
    </row>
    <row r="11" spans="1:8" x14ac:dyDescent="0.3">
      <c r="A11" s="14" t="s">
        <v>39</v>
      </c>
      <c r="B11" s="9">
        <v>79618</v>
      </c>
      <c r="C11" s="9">
        <v>75119</v>
      </c>
      <c r="D11" s="9">
        <v>154737</v>
      </c>
      <c r="E11" s="9">
        <v>241</v>
      </c>
      <c r="F11" s="9">
        <v>231</v>
      </c>
      <c r="G11" s="9">
        <v>472</v>
      </c>
      <c r="H11" s="15">
        <v>0.31</v>
      </c>
    </row>
    <row r="12" spans="1:8" x14ac:dyDescent="0.3">
      <c r="A12" s="14" t="s">
        <v>40</v>
      </c>
      <c r="B12" s="9">
        <v>75247</v>
      </c>
      <c r="C12" s="9">
        <v>71076</v>
      </c>
      <c r="D12" s="9">
        <v>146323</v>
      </c>
      <c r="E12" s="9">
        <v>152</v>
      </c>
      <c r="F12" s="9">
        <v>136</v>
      </c>
      <c r="G12" s="9">
        <v>288</v>
      </c>
      <c r="H12" s="15">
        <v>0.2</v>
      </c>
    </row>
    <row r="13" spans="1:8" x14ac:dyDescent="0.3">
      <c r="A13" s="14" t="s">
        <v>41</v>
      </c>
      <c r="B13" s="9">
        <v>123627</v>
      </c>
      <c r="C13" s="9">
        <v>112259</v>
      </c>
      <c r="D13" s="9">
        <v>235886</v>
      </c>
      <c r="E13" s="9">
        <v>56</v>
      </c>
      <c r="F13" s="9">
        <v>37</v>
      </c>
      <c r="G13" s="9">
        <v>93</v>
      </c>
      <c r="H13" s="15">
        <v>0.04</v>
      </c>
    </row>
    <row r="14" spans="1:8" x14ac:dyDescent="0.3">
      <c r="A14" s="14" t="s">
        <v>42</v>
      </c>
      <c r="B14" s="9">
        <v>82442</v>
      </c>
      <c r="C14" s="9">
        <v>80519</v>
      </c>
      <c r="D14" s="9">
        <v>162961</v>
      </c>
      <c r="E14" s="9">
        <v>55</v>
      </c>
      <c r="F14" s="9">
        <v>28</v>
      </c>
      <c r="G14" s="9">
        <v>83</v>
      </c>
      <c r="H14" s="15">
        <v>0.05</v>
      </c>
    </row>
    <row r="15" spans="1:8" x14ac:dyDescent="0.3">
      <c r="A15" s="14" t="s">
        <v>43</v>
      </c>
      <c r="B15" s="9">
        <v>133971</v>
      </c>
      <c r="C15" s="9">
        <v>74179</v>
      </c>
      <c r="D15" s="9">
        <v>208150</v>
      </c>
      <c r="E15" s="9">
        <v>82</v>
      </c>
      <c r="F15" s="9">
        <v>52</v>
      </c>
      <c r="G15" s="9">
        <v>134</v>
      </c>
      <c r="H15" s="15">
        <v>0.06</v>
      </c>
    </row>
    <row r="16" spans="1:8" x14ac:dyDescent="0.3">
      <c r="A16" s="14" t="s">
        <v>44</v>
      </c>
      <c r="B16" s="9">
        <v>116656</v>
      </c>
      <c r="C16" s="9">
        <v>109057</v>
      </c>
      <c r="D16" s="9">
        <v>225713</v>
      </c>
      <c r="E16" s="9">
        <v>0</v>
      </c>
      <c r="F16" s="9">
        <v>0</v>
      </c>
      <c r="G16" s="9">
        <v>0</v>
      </c>
      <c r="H16" s="15">
        <v>0</v>
      </c>
    </row>
    <row r="17" spans="1:8" x14ac:dyDescent="0.3">
      <c r="A17" s="14" t="s">
        <v>45</v>
      </c>
      <c r="B17" s="9">
        <v>100181</v>
      </c>
      <c r="C17" s="9">
        <v>93869</v>
      </c>
      <c r="D17" s="9">
        <v>194050</v>
      </c>
      <c r="E17" s="9">
        <v>621</v>
      </c>
      <c r="F17" s="9">
        <v>612</v>
      </c>
      <c r="G17" s="9">
        <v>1233</v>
      </c>
      <c r="H17" s="15">
        <v>0.64</v>
      </c>
    </row>
    <row r="18" spans="1:8" x14ac:dyDescent="0.3">
      <c r="A18" s="14" t="s">
        <v>46</v>
      </c>
      <c r="B18" s="9">
        <v>112428</v>
      </c>
      <c r="C18" s="9">
        <v>104922</v>
      </c>
      <c r="D18" s="9">
        <v>217350</v>
      </c>
      <c r="E18" s="9">
        <v>218</v>
      </c>
      <c r="F18" s="9">
        <v>98</v>
      </c>
      <c r="G18" s="9">
        <v>316</v>
      </c>
      <c r="H18" s="15">
        <v>0.15</v>
      </c>
    </row>
    <row r="19" spans="1:8" x14ac:dyDescent="0.3">
      <c r="A19" s="14" t="s">
        <v>47</v>
      </c>
      <c r="B19" s="9">
        <v>107388</v>
      </c>
      <c r="C19" s="9">
        <v>101584</v>
      </c>
      <c r="D19" s="9">
        <v>208972</v>
      </c>
      <c r="E19" s="9">
        <v>86</v>
      </c>
      <c r="F19" s="9">
        <v>26</v>
      </c>
      <c r="G19" s="9">
        <v>112</v>
      </c>
      <c r="H19" s="15">
        <v>0.05</v>
      </c>
    </row>
    <row r="20" spans="1:8" x14ac:dyDescent="0.3">
      <c r="A20" s="14" t="s">
        <v>48</v>
      </c>
      <c r="B20" s="9">
        <v>84640</v>
      </c>
      <c r="C20" s="9">
        <v>77422</v>
      </c>
      <c r="D20" s="9">
        <v>162062</v>
      </c>
      <c r="E20" s="9">
        <v>75</v>
      </c>
      <c r="F20" s="9">
        <v>21</v>
      </c>
      <c r="G20" s="9">
        <v>96</v>
      </c>
      <c r="H20" s="15">
        <v>0.06</v>
      </c>
    </row>
    <row r="21" spans="1:8" x14ac:dyDescent="0.3">
      <c r="A21" s="14" t="s">
        <v>49</v>
      </c>
      <c r="B21" s="9">
        <v>67004</v>
      </c>
      <c r="C21" s="9">
        <v>43030</v>
      </c>
      <c r="D21" s="9">
        <v>110034</v>
      </c>
      <c r="E21" s="9">
        <v>41</v>
      </c>
      <c r="F21" s="9">
        <v>35</v>
      </c>
      <c r="G21" s="9">
        <v>76</v>
      </c>
      <c r="H21" s="15">
        <v>7.0000000000000007E-2</v>
      </c>
    </row>
    <row r="22" spans="1:8" x14ac:dyDescent="0.3">
      <c r="A22" s="14" t="s">
        <v>50</v>
      </c>
      <c r="B22" s="9">
        <v>148337</v>
      </c>
      <c r="C22" s="9">
        <v>141304</v>
      </c>
      <c r="D22" s="9">
        <v>289641</v>
      </c>
      <c r="E22" s="9">
        <v>105</v>
      </c>
      <c r="F22" s="9">
        <v>52</v>
      </c>
      <c r="G22" s="9">
        <v>157</v>
      </c>
      <c r="H22" s="15">
        <v>0.05</v>
      </c>
    </row>
    <row r="23" spans="1:8" x14ac:dyDescent="0.3">
      <c r="A23" s="14" t="s">
        <v>51</v>
      </c>
      <c r="B23" s="9">
        <v>87351</v>
      </c>
      <c r="C23" s="9">
        <v>81927</v>
      </c>
      <c r="D23" s="9">
        <v>169278</v>
      </c>
      <c r="E23" s="9">
        <v>11</v>
      </c>
      <c r="F23" s="9">
        <v>10</v>
      </c>
      <c r="G23" s="9">
        <v>21</v>
      </c>
      <c r="H23" s="15">
        <v>0.01</v>
      </c>
    </row>
    <row r="24" spans="1:8" x14ac:dyDescent="0.3">
      <c r="A24" s="14" t="s">
        <v>52</v>
      </c>
      <c r="B24" s="9">
        <v>819201</v>
      </c>
      <c r="C24" s="9">
        <v>753319</v>
      </c>
      <c r="D24" s="9">
        <v>1572520</v>
      </c>
      <c r="E24" s="9">
        <v>1394</v>
      </c>
      <c r="F24" s="9">
        <v>954</v>
      </c>
      <c r="G24" s="9">
        <v>2348</v>
      </c>
      <c r="H24" s="15">
        <v>0.15</v>
      </c>
    </row>
    <row r="25" spans="1:8" x14ac:dyDescent="0.3">
      <c r="A25" s="14" t="s">
        <v>53</v>
      </c>
      <c r="B25" s="9">
        <v>65910</v>
      </c>
      <c r="C25" s="9">
        <v>61318</v>
      </c>
      <c r="D25" s="9">
        <v>127228</v>
      </c>
      <c r="E25" s="9">
        <v>69</v>
      </c>
      <c r="F25" s="9">
        <v>70</v>
      </c>
      <c r="G25" s="9">
        <v>139</v>
      </c>
      <c r="H25" s="15">
        <v>0.11</v>
      </c>
    </row>
    <row r="26" spans="1:8" x14ac:dyDescent="0.3">
      <c r="A26" s="14" t="s">
        <v>54</v>
      </c>
      <c r="B26" s="9">
        <v>82625</v>
      </c>
      <c r="C26" s="9">
        <v>76389</v>
      </c>
      <c r="D26" s="9">
        <v>159014</v>
      </c>
      <c r="E26" s="9">
        <v>33</v>
      </c>
      <c r="F26" s="9">
        <v>22</v>
      </c>
      <c r="G26" s="9">
        <v>55</v>
      </c>
      <c r="H26" s="15">
        <v>0.03</v>
      </c>
    </row>
    <row r="27" spans="1:8" x14ac:dyDescent="0.3">
      <c r="A27" s="14" t="s">
        <v>55</v>
      </c>
      <c r="B27" s="9">
        <v>83950</v>
      </c>
      <c r="C27" s="9">
        <v>79370</v>
      </c>
      <c r="D27" s="9">
        <v>163320</v>
      </c>
      <c r="E27" s="9">
        <v>45</v>
      </c>
      <c r="F27" s="9">
        <v>35</v>
      </c>
      <c r="G27" s="9">
        <v>80</v>
      </c>
      <c r="H27" s="15">
        <v>0.05</v>
      </c>
    </row>
    <row r="28" spans="1:8" x14ac:dyDescent="0.3">
      <c r="A28" s="14" t="s">
        <v>56</v>
      </c>
      <c r="B28" s="9">
        <v>134517</v>
      </c>
      <c r="C28" s="9">
        <v>125621</v>
      </c>
      <c r="D28" s="9">
        <v>260138</v>
      </c>
      <c r="E28" s="9">
        <v>3</v>
      </c>
      <c r="F28" s="9">
        <v>0</v>
      </c>
      <c r="G28" s="9">
        <v>3</v>
      </c>
      <c r="H28" s="15">
        <v>0</v>
      </c>
    </row>
    <row r="29" spans="1:8" x14ac:dyDescent="0.3">
      <c r="A29" s="14" t="s">
        <v>57</v>
      </c>
      <c r="B29" s="9">
        <v>28491</v>
      </c>
      <c r="C29" s="9">
        <v>26736</v>
      </c>
      <c r="D29" s="9">
        <v>55227</v>
      </c>
      <c r="E29" s="9">
        <v>9</v>
      </c>
      <c r="F29" s="9">
        <v>5</v>
      </c>
      <c r="G29" s="9">
        <v>14</v>
      </c>
      <c r="H29" s="15">
        <v>0.03</v>
      </c>
    </row>
    <row r="30" spans="1:8" x14ac:dyDescent="0.3">
      <c r="A30" s="14" t="s">
        <v>58</v>
      </c>
      <c r="B30" s="9">
        <v>164545</v>
      </c>
      <c r="C30" s="9">
        <v>155084</v>
      </c>
      <c r="D30" s="9">
        <v>319629</v>
      </c>
      <c r="E30" s="9">
        <v>84</v>
      </c>
      <c r="F30" s="9">
        <v>53</v>
      </c>
      <c r="G30" s="9">
        <v>137</v>
      </c>
      <c r="H30" s="15">
        <v>0.04</v>
      </c>
    </row>
    <row r="31" spans="1:8" x14ac:dyDescent="0.3">
      <c r="A31" s="14" t="s">
        <v>59</v>
      </c>
      <c r="B31" s="9">
        <v>46213</v>
      </c>
      <c r="C31" s="9">
        <v>40921</v>
      </c>
      <c r="D31" s="9">
        <v>87134</v>
      </c>
      <c r="E31" s="9">
        <v>144</v>
      </c>
      <c r="F31" s="9">
        <v>103</v>
      </c>
      <c r="G31" s="9">
        <v>247</v>
      </c>
      <c r="H31" s="15">
        <v>0.28000000000000003</v>
      </c>
    </row>
    <row r="32" spans="1:8" x14ac:dyDescent="0.3">
      <c r="A32" s="14" t="s">
        <v>60</v>
      </c>
      <c r="B32" s="9">
        <v>73470</v>
      </c>
      <c r="C32" s="9">
        <v>74509</v>
      </c>
      <c r="D32" s="9">
        <v>147979</v>
      </c>
      <c r="E32" s="9">
        <v>58</v>
      </c>
      <c r="F32" s="9">
        <v>26</v>
      </c>
      <c r="G32" s="9">
        <v>84</v>
      </c>
      <c r="H32" s="15">
        <v>0.06</v>
      </c>
    </row>
    <row r="33" spans="1:8" x14ac:dyDescent="0.3">
      <c r="A33" s="14" t="s">
        <v>61</v>
      </c>
      <c r="B33" s="9">
        <v>61649</v>
      </c>
      <c r="C33" s="9">
        <v>56888</v>
      </c>
      <c r="D33" s="9">
        <v>118537</v>
      </c>
      <c r="E33" s="9">
        <v>5</v>
      </c>
      <c r="F33" s="9">
        <v>1</v>
      </c>
      <c r="G33" s="9">
        <v>6</v>
      </c>
      <c r="H33" s="15">
        <v>0.01</v>
      </c>
    </row>
    <row r="34" spans="1:8" x14ac:dyDescent="0.3">
      <c r="A34" s="14" t="s">
        <v>62</v>
      </c>
      <c r="B34" s="9">
        <v>105765</v>
      </c>
      <c r="C34" s="9">
        <v>99063</v>
      </c>
      <c r="D34" s="9">
        <v>204828</v>
      </c>
      <c r="E34" s="9">
        <v>346</v>
      </c>
      <c r="F34" s="9">
        <v>316</v>
      </c>
      <c r="G34" s="9">
        <v>662</v>
      </c>
      <c r="H34" s="15">
        <v>0.32</v>
      </c>
    </row>
    <row r="35" spans="1:8" x14ac:dyDescent="0.3">
      <c r="A35" s="19" t="s">
        <v>63</v>
      </c>
      <c r="B35" s="20">
        <v>73101</v>
      </c>
      <c r="C35" s="20">
        <v>69520</v>
      </c>
      <c r="D35" s="20">
        <v>142621</v>
      </c>
      <c r="E35" s="20">
        <v>0</v>
      </c>
      <c r="F35" s="20">
        <v>0</v>
      </c>
      <c r="G35" s="20">
        <v>0</v>
      </c>
      <c r="H35" s="21">
        <v>0</v>
      </c>
    </row>
    <row r="36" spans="1:8" x14ac:dyDescent="0.3">
      <c r="A36" s="5" t="s">
        <v>64</v>
      </c>
      <c r="B36" s="10">
        <f t="shared" ref="B36:G36" si="0">SUM(B5:B35)</f>
        <v>4263521</v>
      </c>
      <c r="C36" s="10">
        <f t="shared" si="0"/>
        <v>3884958</v>
      </c>
      <c r="D36" s="10">
        <f t="shared" si="0"/>
        <v>8148479</v>
      </c>
      <c r="E36" s="10">
        <f t="shared" si="0"/>
        <v>4381</v>
      </c>
      <c r="F36" s="10">
        <f t="shared" si="0"/>
        <v>3411</v>
      </c>
      <c r="G36" s="10">
        <f t="shared" si="0"/>
        <v>7792</v>
      </c>
      <c r="H36" s="10" t="s">
        <v>65</v>
      </c>
    </row>
    <row r="37" spans="1:8" x14ac:dyDescent="0.3">
      <c r="A37" s="3" t="s">
        <v>66</v>
      </c>
      <c r="B37" s="9">
        <v>4263521</v>
      </c>
      <c r="C37" s="9">
        <v>3884958</v>
      </c>
      <c r="D37" s="9">
        <v>8148479</v>
      </c>
      <c r="E37" s="9">
        <v>4381</v>
      </c>
      <c r="F37" s="9">
        <v>3411</v>
      </c>
      <c r="G37" s="9">
        <v>7792</v>
      </c>
      <c r="H37" s="9">
        <v>0.1</v>
      </c>
    </row>
    <row r="38" spans="1:8" x14ac:dyDescent="0.3">
      <c r="A38" s="3" t="s">
        <v>67</v>
      </c>
      <c r="B38" s="11" t="str">
        <f t="shared" ref="B38:G38" si="1">IF(ROUND(B36-B37,1)=0,"OK","CHECK")</f>
        <v>OK</v>
      </c>
      <c r="C38" s="11" t="str">
        <f t="shared" si="1"/>
        <v>OK</v>
      </c>
      <c r="D38" s="11" t="str">
        <f t="shared" si="1"/>
        <v>OK</v>
      </c>
      <c r="E38" s="11" t="str">
        <f t="shared" si="1"/>
        <v>OK</v>
      </c>
      <c r="F38" s="11" t="str">
        <f t="shared" si="1"/>
        <v>OK</v>
      </c>
      <c r="G38" s="11" t="str">
        <f t="shared" si="1"/>
        <v>OK</v>
      </c>
      <c r="H38" s="11" t="s">
        <v>68</v>
      </c>
    </row>
    <row r="40" spans="1:8" ht="42" customHeight="1" x14ac:dyDescent="0.3">
      <c r="A40" s="1" t="s">
        <v>69</v>
      </c>
      <c r="B40" s="1"/>
      <c r="C40" s="1"/>
      <c r="D40" s="1"/>
      <c r="E40" s="1"/>
      <c r="F40" s="1"/>
      <c r="G40" s="1"/>
      <c r="H40" s="1"/>
    </row>
  </sheetData>
  <mergeCells count="3">
    <mergeCell ref="A1:H1"/>
    <mergeCell ref="A2:H2"/>
    <mergeCell ref="A40:H4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9.3a Rural Roads</vt:lpstr>
      <vt:lpstr>9.4 Internet &amp; Telecom</vt:lpstr>
      <vt:lpstr>10.3a Lower Primary</vt:lpstr>
      <vt:lpstr>10.4a Higher Primary</vt:lpstr>
      <vt:lpstr>10.5a High School</vt:lpstr>
      <vt:lpstr>10.8 OutOfSchool &amp; Dropout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Lilekha Narendra</cp:lastModifiedBy>
  <cp:revision>0</cp:revision>
  <dcterms:created xsi:type="dcterms:W3CDTF">2026-07-31T11:35:40Z</dcterms:created>
  <dcterms:modified xsi:type="dcterms:W3CDTF">2026-07-31T14:58:42Z</dcterms:modified>
  <dc:language>en-US</dc:language>
</cp:coreProperties>
</file>